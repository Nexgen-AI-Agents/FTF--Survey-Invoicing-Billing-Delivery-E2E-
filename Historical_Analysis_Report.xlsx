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YoY Comparison" sheetId="2" state="visible" r:id="rId2"/>
    <sheet xmlns:r="http://schemas.openxmlformats.org/officeDocument/2006/relationships" name="Monthly Revenue" sheetId="3" state="visible" r:id="rId3"/>
    <sheet xmlns:r="http://schemas.openxmlformats.org/officeDocument/2006/relationships" name="Price Distribution" sheetId="4" state="visible" r:id="rId4"/>
    <sheet xmlns:r="http://schemas.openxmlformats.org/officeDocument/2006/relationships" name="County Pricing" sheetId="5" state="visible" r:id="rId5"/>
    <sheet xmlns:r="http://schemas.openxmlformats.org/officeDocument/2006/relationships" name="New Aliases Found" sheetId="6" state="visible" r:id="rId6"/>
    <sheet xmlns:r="http://schemas.openxmlformats.org/officeDocument/2006/relationships" name="AR Analysis" sheetId="7" state="visible" r:id="rId7"/>
    <sheet xmlns:r="http://schemas.openxmlformats.org/officeDocument/2006/relationships" name="Commercial vs Residential" sheetId="8" state="visible" r:id="rId8"/>
    <sheet xmlns:r="http://schemas.openxmlformats.org/officeDocument/2006/relationships" name="AI Action Items" sheetId="9" state="visible" r:id="rId9"/>
    <sheet xmlns:r="http://schemas.openxmlformats.org/officeDocument/2006/relationships" name="Analyst Questions" sheetId="10" state="visible" r:id="rId10"/>
    <sheet xmlns:r="http://schemas.openxmlformats.org/officeDocument/2006/relationships" name="AI Thoughts - Toda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000000"/>
      <sz val="13"/>
    </font>
    <font>
      <name val="Calibri"/>
      <b val="1"/>
      <color rgb="00FFC000"/>
      <sz val="13"/>
    </font>
    <font>
      <name val="Calibri"/>
      <b val="1"/>
      <color rgb="00FFC000"/>
      <sz val="11"/>
    </font>
    <font>
      <name val="Calibri"/>
      <b val="1"/>
      <color rgb="00FF4B4B"/>
      <sz val="13"/>
    </font>
    <font>
      <name val="Calibri"/>
      <b val="1"/>
      <color rgb="00FF4B4B"/>
      <sz val="11"/>
    </font>
    <font>
      <name val="Calibri"/>
      <b val="1"/>
      <color rgb="0070AD47"/>
      <sz val="13"/>
    </font>
    <font>
      <name val="Calibri"/>
      <b val="1"/>
      <color rgb="0070AD47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7030A0"/>
      <sz val="10"/>
    </font>
    <font>
      <name val="Calibri"/>
      <color rgb="007030A0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C000"/>
      <sz val="14"/>
    </font>
    <font>
      <name val="Calibri"/>
      <b val="1"/>
      <color rgb="0070AD47"/>
      <sz val="14"/>
    </font>
    <font>
      <name val="Calibri"/>
      <color rgb="002E75B6"/>
      <sz val="9"/>
    </font>
    <font>
      <name val="Calibri"/>
      <b val="1"/>
      <color rgb="002D6A2D"/>
      <sz val="10"/>
    </font>
    <font>
      <name val="Calibri"/>
      <b val="1"/>
      <color rgb="00FF4B4B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4B4B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9F2EF"/>
      </patternFill>
    </fill>
    <fill>
      <patternFill patternType="solid">
        <fgColor rgb="0000B0A0"/>
      </patternFill>
    </fill>
    <fill>
      <patternFill patternType="solid">
        <fgColor rgb="00D9D9D9"/>
      </patternFill>
    </fill>
    <fill>
      <patternFill patternType="solid">
        <fgColor rgb="00EAD1FF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14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 wrapText="1"/>
    </xf>
    <xf numFmtId="0" fontId="16" fillId="17" borderId="0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left" vertical="center" wrapText="1"/>
    </xf>
    <xf numFmtId="0" fontId="16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Revenue: Yr1 vs Yr2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Revenue'!C2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'Monthly Revenue'!$A$3:$A$15</f>
            </numRef>
          </cat>
          <val>
            <numRef>
              <f>'Monthly Revenue'!$C$3:$C$15</f>
            </numRef>
          </val>
        </ser>
        <ser>
          <idx val="1"/>
          <order val="1"/>
          <tx>
            <strRef>
              <f>'Monthly Revenue'!G2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'Monthly Revenue'!$A$3:$A$15</f>
            </numRef>
          </cat>
          <val>
            <numRef>
              <f>'Monthly Revenue'!$G$3:$G$15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>
      <c r="A1" s="1" t="inlineStr">
        <is>
          <t>NexGen Surveying — Historical Invoice Analysis</t>
        </is>
      </c>
    </row>
    <row r="2" ht="28" customHeight="1">
      <c r="A2" s="2" t="inlineStr">
        <is>
          <t>Two-Year Comparative Study: May 2024–May 2025  vs  May 2025–May 2026</t>
        </is>
      </c>
    </row>
    <row r="3" ht="22" customHeight="1">
      <c r="A3" s="3" t="inlineStr">
        <is>
          <t>Source: nexgen_ftf_db (AWS RDS production)  |  Generated: May 28, 2026  |  NOTE: 'Invoiced' = what NexGen billed. 'Collected' = actual cash received (invoiced minus AR). These are NOT the same number.</t>
        </is>
      </c>
    </row>
    <row r="5" ht="20" customHeight="1">
      <c r="A5" s="4" t="inlineStr">
        <is>
          <t>Invoiced (Billed)</t>
        </is>
      </c>
      <c r="C5" s="5" t="inlineStr">
        <is>
          <t>Collected (Cash In)</t>
        </is>
      </c>
      <c r="E5" s="6" t="inlineStr">
        <is>
          <t>Avg Invoice Price</t>
        </is>
      </c>
    </row>
    <row r="6">
      <c r="A6" s="7" t="inlineStr">
        <is>
          <t>May 2024 – May</t>
        </is>
      </c>
      <c r="B6" s="7" t="inlineStr">
        <is>
          <t>May 2025 – May</t>
        </is>
      </c>
      <c r="C6" s="7" t="inlineStr">
        <is>
          <t>May 2024 – May</t>
        </is>
      </c>
      <c r="D6" s="7" t="inlineStr">
        <is>
          <t>May 2025 – May</t>
        </is>
      </c>
      <c r="E6" s="7" t="inlineStr">
        <is>
          <t>May 2024 – May</t>
        </is>
      </c>
      <c r="F6" s="7" t="inlineStr">
        <is>
          <t>May 2025 – May</t>
        </is>
      </c>
    </row>
    <row r="7" ht="28" customHeight="1">
      <c r="A7" s="8" t="inlineStr">
        <is>
          <t>$12.4M</t>
        </is>
      </c>
      <c r="B7" s="9" t="inlineStr">
        <is>
          <t>$13.2M</t>
        </is>
      </c>
      <c r="C7" s="8" t="inlineStr">
        <is>
          <t>$7.2M</t>
        </is>
      </c>
      <c r="D7" s="10" t="inlineStr">
        <is>
          <t>$6.64M</t>
        </is>
      </c>
      <c r="E7" s="8" t="inlineStr">
        <is>
          <t>$506.82</t>
        </is>
      </c>
      <c r="F7" s="11" t="inlineStr">
        <is>
          <t>$565.47</t>
        </is>
      </c>
    </row>
    <row r="8">
      <c r="A8" s="12" t="inlineStr">
        <is>
          <t>YoY Change: +6.5%</t>
        </is>
      </c>
      <c r="C8" s="13" t="inlineStr">
        <is>
          <t>YoY Change: -7.8%</t>
        </is>
      </c>
      <c r="E8" s="14" t="inlineStr">
        <is>
          <t>YoY Change: +11.6%</t>
        </is>
      </c>
    </row>
    <row r="10" ht="20" customHeight="1">
      <c r="A10" s="5" t="inlineStr">
        <is>
          <t>AR Outstanding</t>
        </is>
      </c>
      <c r="C10" s="5" t="inlineStr">
        <is>
          <t>Unpaid Invoices</t>
        </is>
      </c>
      <c r="E10" s="6" t="inlineStr">
        <is>
          <t>LSO Avg Price</t>
        </is>
      </c>
    </row>
    <row r="11">
      <c r="A11" s="7" t="inlineStr">
        <is>
          <t>May 2024 – May</t>
        </is>
      </c>
      <c r="B11" s="7" t="inlineStr">
        <is>
          <t>May 2025 – May</t>
        </is>
      </c>
      <c r="C11" s="7" t="inlineStr">
        <is>
          <t>May 2024 – May</t>
        </is>
      </c>
      <c r="D11" s="7" t="inlineStr">
        <is>
          <t>May 2025 – May</t>
        </is>
      </c>
      <c r="E11" s="7" t="inlineStr">
        <is>
          <t>May 2024 – May</t>
        </is>
      </c>
      <c r="F11" s="7" t="inlineStr">
        <is>
          <t>May 2025 – May</t>
        </is>
      </c>
    </row>
    <row r="12" ht="28" customHeight="1">
      <c r="A12" s="8" t="inlineStr">
        <is>
          <t>$5.20M</t>
        </is>
      </c>
      <c r="B12" s="10" t="inlineStr">
        <is>
          <t>$6.57M</t>
        </is>
      </c>
      <c r="C12" s="8" t="inlineStr">
        <is>
          <t>6,786</t>
        </is>
      </c>
      <c r="D12" s="10" t="inlineStr">
        <is>
          <t>8,212</t>
        </is>
      </c>
      <c r="E12" s="8" t="inlineStr">
        <is>
          <t>$474.94</t>
        </is>
      </c>
      <c r="F12" s="11" t="inlineStr">
        <is>
          <t>$616.20</t>
        </is>
      </c>
    </row>
    <row r="13">
      <c r="A13" s="13" t="inlineStr">
        <is>
          <t>YoY Change: +26.3%</t>
        </is>
      </c>
      <c r="C13" s="13" t="inlineStr">
        <is>
          <t>YoY Change: +21.0%</t>
        </is>
      </c>
      <c r="E13" s="14" t="inlineStr">
        <is>
          <t>YoY Change: +29.7%</t>
        </is>
      </c>
    </row>
    <row r="16" ht="22" customHeight="1">
      <c r="A16" s="15" t="inlineStr">
        <is>
          <t>KEY INSIGHTS</t>
        </is>
      </c>
    </row>
    <row r="17" ht="22" customHeight="1">
      <c r="A17" s="16" t="inlineStr">
        <is>
          <t>1</t>
        </is>
      </c>
      <c r="B17" s="17" t="inlineStr">
        <is>
          <t>Price surge</t>
        </is>
      </c>
      <c r="C17" s="18" t="inlineStr">
        <is>
          <t>Land Survey Only avg jumped from $474 to $616 (+29.7%) YoY. The $400-449 bucket is now dominant. NexGen raised prices significantly.</t>
        </is>
      </c>
    </row>
    <row r="18" ht="22" customHeight="1">
      <c r="A18" s="16" t="inlineStr">
        <is>
          <t>2</t>
        </is>
      </c>
      <c r="B18" s="17" t="inlineStr">
        <is>
          <t>INVOICED up, COLLECTED down</t>
        </is>
      </c>
      <c r="C18" s="18" t="inlineStr">
        <is>
          <t>Invoiced grew +6.5% but actual cash collected FELL -7.8% ($7.2M -&gt; $6.64M). NexGen is billing more but receiving less. See 'AR Analysis' tab.</t>
        </is>
      </c>
    </row>
    <row r="19" ht="22" customHeight="1">
      <c r="A19" s="16" t="inlineStr">
        <is>
          <t>3</t>
        </is>
      </c>
      <c r="B19" s="17" t="inlineStr">
        <is>
          <t>Panhandle = extreme premium</t>
        </is>
      </c>
      <c r="C19" s="18" t="inlineStr">
        <is>
          <t>Santa Rosa ($2,466), Escambia ($2,210), Bay ($2,000), Leon ($1,720) avg in yr1. Zero orders in yr2 — crew coverage gap or deliberate exit?</t>
        </is>
      </c>
    </row>
    <row r="20" ht="22" customHeight="1">
      <c r="A20" s="16" t="inlineStr">
        <is>
          <t>4</t>
        </is>
      </c>
      <c r="B20" s="17" t="inlineStr">
        <is>
          <t>Quote orders halved</t>
        </is>
      </c>
      <c r="C20" s="18" t="inlineStr">
        <is>
          <t>Quote (unclassified) orders dropped from 3,379 to 1,721 (-49%). Better FTF staff classification. But avg Quote value rose to $926 — high-value unknowns still need human review.</t>
        </is>
      </c>
    </row>
    <row r="21" ht="22" customHeight="1">
      <c r="A21" s="16" t="inlineStr">
        <is>
          <t>5</t>
        </is>
      </c>
      <c r="B21" s="17" t="inlineStr">
        <is>
          <t>Commercial premium growing</t>
        </is>
      </c>
      <c r="C21" s="18" t="inlineStr">
        <is>
          <t>Commercial multiplier grew from 3.1x to 4.1x residential. Each commercial job = 4 residential jobs in value. Never auto-quote commercial.</t>
        </is>
      </c>
    </row>
    <row r="22" ht="22" customHeight="1">
      <c r="A22" s="16" t="inlineStr">
        <is>
          <t>6</t>
        </is>
      </c>
      <c r="B22" s="17" t="inlineStr">
        <is>
          <t>Spot Survey surged</t>
        </is>
      </c>
      <c r="C22" s="18" t="inlineStr">
        <is>
          <t>Spot Survey (New client) volume went from 10 to 106 orders (+960%). New client vertical or service renaming — investigate which client is driving this.</t>
        </is>
      </c>
    </row>
    <row r="23" ht="22" customHeight="1">
      <c r="A23" s="16" t="inlineStr">
        <is>
          <t>7</t>
        </is>
      </c>
      <c r="B23" s="17" t="inlineStr">
        <is>
          <t>AR growing faster than invoiced</t>
        </is>
      </c>
      <c r="C23" s="18" t="inlineStr">
        <is>
          <t>AR outstanding grew +26.3% vs invoiced +6.5%. Collection efficiency declining. Collected cash actually dropped. AR agent is not optional — it is urgent.</t>
        </is>
      </c>
    </row>
    <row r="24" ht="22" customHeight="1">
      <c r="A24" s="16" t="inlineStr">
        <is>
          <t>8</t>
        </is>
      </c>
      <c r="B24" s="17" t="inlineStr">
        <is>
          <t>ALTA volume dropped, price rose</t>
        </is>
      </c>
      <c r="C24" s="18" t="inlineStr">
        <is>
          <t>16 orders in yr2 vs 43 in yr1 (-62.8%), but avg price rose from $3,616 to $5,075 (+40.2%). Fewer but bigger, always custom-scoped jobs.</t>
        </is>
      </c>
    </row>
    <row r="25" ht="22" customHeight="1">
      <c r="A25" s="16" t="inlineStr">
        <is>
          <t>9</t>
        </is>
      </c>
      <c r="B25" s="17" t="inlineStr">
        <is>
          <t>Form Board collapsed</t>
        </is>
      </c>
      <c r="C25" s="18" t="inlineStr">
        <is>
          <t>Form Board Survey dropped from 60 to 6 orders (-90%). B-II Title Review disappeared entirely in yr2. Robert must confirm what happened.</t>
        </is>
      </c>
    </row>
    <row r="26" ht="22" customHeight="1">
      <c r="A26" s="16" t="inlineStr">
        <is>
          <t>10</t>
        </is>
      </c>
      <c r="B26" s="17" t="inlineStr">
        <is>
          <t>32 new alias names found</t>
        </is>
      </c>
      <c r="C26" s="18" t="inlineStr">
        <is>
          <t>Prior year revealed 32 additional service aliases (Survey Refresh, Topo/Update, Boundary Staking, Bldg Pinning, etc.) added to classifier in Sprint 2.</t>
        </is>
      </c>
    </row>
  </sheetData>
  <mergeCells count="26">
    <mergeCell ref="A16:F16"/>
    <mergeCell ref="C17:F17"/>
    <mergeCell ref="C23:F23"/>
    <mergeCell ref="C5:D5"/>
    <mergeCell ref="E5:F5"/>
    <mergeCell ref="A3:F3"/>
    <mergeCell ref="C19:F19"/>
    <mergeCell ref="E8:F8"/>
    <mergeCell ref="A2:F2"/>
    <mergeCell ref="C18:F18"/>
    <mergeCell ref="C10:D10"/>
    <mergeCell ref="E10:F10"/>
    <mergeCell ref="E13:F13"/>
    <mergeCell ref="C24:F24"/>
    <mergeCell ref="C20:F20"/>
    <mergeCell ref="C26:F26"/>
    <mergeCell ref="A5:B5"/>
    <mergeCell ref="C25:F25"/>
    <mergeCell ref="A8:B8"/>
    <mergeCell ref="C8:D8"/>
    <mergeCell ref="C22:F22"/>
    <mergeCell ref="A1:F1"/>
    <mergeCell ref="A10:B10"/>
    <mergeCell ref="C21:F21"/>
    <mergeCell ref="A13:B13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9" t="inlineStr">
        <is>
          <t>Year-over-Year Service Comparison</t>
        </is>
      </c>
    </row>
    <row r="2" ht="32" customHeight="1">
      <c r="A2" s="20" t="inlineStr">
        <is>
          <t>Service (CRM Label)</t>
        </is>
      </c>
      <c r="B2" s="20" t="inlineStr">
        <is>
          <t>Yr1 Orders
May 2024 – May 2025</t>
        </is>
      </c>
      <c r="C2" s="20" t="inlineStr">
        <is>
          <t>Yr1 Revenue</t>
        </is>
      </c>
      <c r="D2" s="20" t="inlineStr">
        <is>
          <t>Yr1 Avg</t>
        </is>
      </c>
      <c r="E2" s="20" t="inlineStr">
        <is>
          <t>Yr2 Orders
May 2025 – May 2026</t>
        </is>
      </c>
      <c r="F2" s="20" t="inlineStr">
        <is>
          <t>Yr2 Revenue</t>
        </is>
      </c>
      <c r="G2" s="20" t="inlineStr">
        <is>
          <t>Yr2 Avg</t>
        </is>
      </c>
      <c r="H2" s="20" t="inlineStr">
        <is>
          <t>Trend / Notes</t>
        </is>
      </c>
    </row>
    <row r="3" ht="18" customHeight="1">
      <c r="A3" s="21" t="inlineStr">
        <is>
          <t>Land Survey Only</t>
        </is>
      </c>
      <c r="B3" s="22" t="n">
        <v>13844</v>
      </c>
      <c r="C3" s="22" t="inlineStr">
        <is>
          <t>$6,575,097</t>
        </is>
      </c>
      <c r="D3" s="22" t="inlineStr">
        <is>
          <t>$475</t>
        </is>
      </c>
      <c r="E3" s="22" t="n">
        <v>13260</v>
      </c>
      <c r="F3" s="22" t="inlineStr">
        <is>
          <t>$8,170,826</t>
        </is>
      </c>
      <c r="G3" s="22" t="inlineStr">
        <is>
          <t>$616</t>
        </is>
      </c>
      <c r="H3" s="23" t="inlineStr">
        <is>
          <t>Dominant service — 57% yr2 volume; price +29.7% YoY</t>
        </is>
      </c>
    </row>
    <row r="4" ht="18" customHeight="1">
      <c r="A4" s="24" t="inlineStr">
        <is>
          <t>Land Survey and Elevation</t>
        </is>
      </c>
      <c r="B4" s="25" t="n">
        <v>5075</v>
      </c>
      <c r="C4" s="25" t="inlineStr">
        <is>
          <t>$1,958,530</t>
        </is>
      </c>
      <c r="D4" s="25" t="inlineStr">
        <is>
          <t>$386</t>
        </is>
      </c>
      <c r="E4" s="25" t="n">
        <v>5654</v>
      </c>
      <c r="F4" s="25" t="inlineStr">
        <is>
          <t>$2,262,682</t>
        </is>
      </c>
      <c r="G4" s="25" t="inlineStr">
        <is>
          <t>$400</t>
        </is>
      </c>
      <c r="H4" s="26" t="inlineStr">
        <is>
          <t>2nd largest; includes EC component</t>
        </is>
      </c>
    </row>
    <row r="5" ht="18" customHeight="1">
      <c r="A5" s="27" t="inlineStr">
        <is>
          <t>Quote (unclassified)</t>
        </is>
      </c>
      <c r="B5" s="28" t="n">
        <v>3379</v>
      </c>
      <c r="C5" s="28" t="inlineStr">
        <is>
          <t>$2,883,596</t>
        </is>
      </c>
      <c r="D5" s="28" t="inlineStr">
        <is>
          <t>$853</t>
        </is>
      </c>
      <c r="E5" s="28" t="n">
        <v>1721</v>
      </c>
      <c r="F5" s="28" t="inlineStr">
        <is>
          <t>$1,594,682</t>
        </is>
      </c>
      <c r="G5" s="28" t="inlineStr">
        <is>
          <t>$927</t>
        </is>
      </c>
      <c r="H5" s="29" t="inlineStr">
        <is>
          <t>Volume halved YoY; avg price +8.6% — fewer but larger unclas</t>
        </is>
      </c>
    </row>
    <row r="6" ht="18" customHeight="1">
      <c r="A6" s="24" t="inlineStr">
        <is>
          <t>Boundary Survey</t>
        </is>
      </c>
      <c r="B6" s="25" t="n">
        <v>484</v>
      </c>
      <c r="C6" s="25" t="inlineStr">
        <is>
          <t>$229,305</t>
        </is>
      </c>
      <c r="D6" s="25" t="inlineStr">
        <is>
          <t>$474</t>
        </is>
      </c>
      <c r="E6" s="25" t="n">
        <v>992</v>
      </c>
      <c r="F6" s="25" t="inlineStr">
        <is>
          <t>$563,055</t>
        </is>
      </c>
      <c r="G6" s="25" t="inlineStr">
        <is>
          <t>$568</t>
        </is>
      </c>
      <c r="H6" s="26" t="inlineStr">
        <is>
          <t>Explicit canonical name doubled in volume +104%</t>
        </is>
      </c>
    </row>
    <row r="7" ht="18" customHeight="1">
      <c r="A7" s="24" t="inlineStr">
        <is>
          <t>Re-Survey / Re-survey</t>
        </is>
      </c>
      <c r="B7" s="25" t="n">
        <v>265</v>
      </c>
      <c r="C7" s="25" t="inlineStr">
        <is>
          <t>$91,780</t>
        </is>
      </c>
      <c r="D7" s="25" t="inlineStr">
        <is>
          <t>$346</t>
        </is>
      </c>
      <c r="E7" s="25" t="n">
        <v>406</v>
      </c>
      <c r="F7" s="25" t="inlineStr">
        <is>
          <t>$161,475</t>
        </is>
      </c>
      <c r="G7" s="25" t="inlineStr">
        <is>
          <t>$398</t>
        </is>
      </c>
      <c r="H7" s="26" t="inlineStr">
        <is>
          <t>Growing volume +53%; price +14.8%</t>
        </is>
      </c>
    </row>
    <row r="8" ht="18" customHeight="1">
      <c r="A8" s="24" t="inlineStr">
        <is>
          <t>Elevation Certificate</t>
        </is>
      </c>
      <c r="B8" s="25" t="n">
        <v>308</v>
      </c>
      <c r="C8" s="25" t="inlineStr">
        <is>
          <t>$79,800</t>
        </is>
      </c>
      <c r="D8" s="25" t="inlineStr">
        <is>
          <t>$259</t>
        </is>
      </c>
      <c r="E8" s="25" t="n">
        <v>365</v>
      </c>
      <c r="F8" s="25" t="inlineStr">
        <is>
          <t>$99,190</t>
        </is>
      </c>
      <c r="G8" s="25" t="inlineStr">
        <is>
          <t>$272</t>
        </is>
      </c>
      <c r="H8" s="26" t="inlineStr">
        <is>
          <t>Stable service; price +4.9%</t>
        </is>
      </c>
    </row>
    <row r="9" ht="18" customHeight="1">
      <c r="A9" s="27" t="inlineStr">
        <is>
          <t>Topography Survey</t>
        </is>
      </c>
      <c r="B9" s="28" t="n">
        <v>253</v>
      </c>
      <c r="C9" s="28" t="inlineStr">
        <is>
          <t>$110,255</t>
        </is>
      </c>
      <c r="D9" s="28" t="inlineStr">
        <is>
          <t>$436</t>
        </is>
      </c>
      <c r="E9" s="28" t="n">
        <v>61</v>
      </c>
      <c r="F9" s="28" t="inlineStr">
        <is>
          <t>$29,525</t>
        </is>
      </c>
      <c r="G9" s="28" t="inlineStr">
        <is>
          <t>$484</t>
        </is>
      </c>
      <c r="H9" s="29" t="inlineStr">
        <is>
          <t>Volume dropped -75.9% — shift to Land Survey?</t>
        </is>
      </c>
    </row>
    <row r="10" ht="18" customHeight="1">
      <c r="A10" s="27" t="inlineStr">
        <is>
          <t>Update Survey</t>
        </is>
      </c>
      <c r="B10" s="28" t="n">
        <v>147</v>
      </c>
      <c r="C10" s="28" t="inlineStr">
        <is>
          <t>$43,250</t>
        </is>
      </c>
      <c r="D10" s="28" t="inlineStr">
        <is>
          <t>$294</t>
        </is>
      </c>
      <c r="E10" s="28" t="n">
        <v>16</v>
      </c>
      <c r="F10" s="28" t="inlineStr">
        <is>
          <t>$5,575</t>
        </is>
      </c>
      <c r="G10" s="28" t="inlineStr">
        <is>
          <t>$348</t>
        </is>
      </c>
      <c r="H10" s="29" t="inlineStr">
        <is>
          <t>Volume collapsed — most billed as Re-Survey now</t>
        </is>
      </c>
    </row>
    <row r="11" ht="18" customHeight="1">
      <c r="A11" s="21" t="inlineStr">
        <is>
          <t>Property Survey and Elevation</t>
        </is>
      </c>
      <c r="B11" s="22" t="n">
        <v>108</v>
      </c>
      <c r="C11" s="22" t="inlineStr">
        <is>
          <t>$37,135</t>
        </is>
      </c>
      <c r="D11" s="22" t="inlineStr">
        <is>
          <t>$344</t>
        </is>
      </c>
      <c r="E11" s="22" t="n">
        <v>114</v>
      </c>
      <c r="F11" s="22" t="inlineStr">
        <is>
          <t>$40,125</t>
        </is>
      </c>
      <c r="G11" s="22" t="inlineStr">
        <is>
          <t>$352</t>
        </is>
      </c>
      <c r="H11" s="23" t="inlineStr">
        <is>
          <t>Stable; alias for Land Survey and Elevation</t>
        </is>
      </c>
    </row>
    <row r="12" ht="18" customHeight="1">
      <c r="A12" s="27" t="inlineStr">
        <is>
          <t>ALTA Table A Survey</t>
        </is>
      </c>
      <c r="B12" s="28" t="n">
        <v>43</v>
      </c>
      <c r="C12" s="28" t="inlineStr">
        <is>
          <t>$155,525</t>
        </is>
      </c>
      <c r="D12" s="28" t="inlineStr">
        <is>
          <t>$3617</t>
        </is>
      </c>
      <c r="E12" s="28" t="n">
        <v>16</v>
      </c>
      <c r="F12" s="28" t="inlineStr">
        <is>
          <t>$81,200</t>
        </is>
      </c>
      <c r="G12" s="28" t="inlineStr">
        <is>
          <t>$5075</t>
        </is>
      </c>
      <c r="H12" s="29" t="inlineStr">
        <is>
          <t>Volume -62.8% but avg +40.2% — larger custom jobs</t>
        </is>
      </c>
    </row>
    <row r="13" ht="18" customHeight="1">
      <c r="A13" s="24" t="inlineStr">
        <is>
          <t>Spot Survey (New client)</t>
        </is>
      </c>
      <c r="B13" s="25" t="n">
        <v>10</v>
      </c>
      <c r="C13" s="25" t="inlineStr">
        <is>
          <t>$5,500</t>
        </is>
      </c>
      <c r="D13" s="25" t="inlineStr">
        <is>
          <t>$550</t>
        </is>
      </c>
      <c r="E13" s="25" t="n">
        <v>106</v>
      </c>
      <c r="F13" s="25" t="inlineStr">
        <is>
          <t>$62,500</t>
        </is>
      </c>
      <c r="G13" s="25" t="inlineStr">
        <is>
          <t>$590</t>
        </is>
      </c>
      <c r="H13" s="26" t="inlineStr">
        <is>
          <t>Massive volume surge +960% YoY</t>
        </is>
      </c>
    </row>
    <row r="14" ht="18" customHeight="1">
      <c r="A14" s="27" t="inlineStr">
        <is>
          <t>Form Board Survey</t>
        </is>
      </c>
      <c r="B14" s="28" t="n">
        <v>60</v>
      </c>
      <c r="C14" s="28" t="inlineStr">
        <is>
          <t>$17,400</t>
        </is>
      </c>
      <c r="D14" s="28" t="inlineStr">
        <is>
          <t>$290</t>
        </is>
      </c>
      <c r="E14" s="28" t="n">
        <v>6</v>
      </c>
      <c r="F14" s="28" t="inlineStr">
        <is>
          <t>$1,950</t>
        </is>
      </c>
      <c r="G14" s="28" t="inlineStr">
        <is>
          <t>$325</t>
        </is>
      </c>
      <c r="H14" s="29" t="inlineStr">
        <is>
          <t>Volume collapsed -90% — investigate</t>
        </is>
      </c>
    </row>
    <row r="15" ht="18" customHeight="1">
      <c r="A15" s="27" t="inlineStr">
        <is>
          <t>Property Flagging</t>
        </is>
      </c>
      <c r="B15" s="28" t="n">
        <v>63</v>
      </c>
      <c r="C15" s="28" t="inlineStr">
        <is>
          <t>$19,074</t>
        </is>
      </c>
      <c r="D15" s="28" t="inlineStr">
        <is>
          <t>$303</t>
        </is>
      </c>
      <c r="E15" s="28" t="n">
        <v>5</v>
      </c>
      <c r="F15" s="28" t="inlineStr">
        <is>
          <t>$1,525</t>
        </is>
      </c>
      <c r="G15" s="28" t="inlineStr">
        <is>
          <t>$305</t>
        </is>
      </c>
      <c r="H15" s="29" t="inlineStr">
        <is>
          <t>Nearly disappeared from billing</t>
        </is>
      </c>
    </row>
    <row r="16" ht="18" customHeight="1">
      <c r="A16" s="30" t="inlineStr">
        <is>
          <t>B-II Title Review</t>
        </is>
      </c>
      <c r="B16" s="31" t="n">
        <v>11</v>
      </c>
      <c r="C16" s="31" t="inlineStr">
        <is>
          <t>$4,350</t>
        </is>
      </c>
      <c r="D16" s="31" t="inlineStr">
        <is>
          <t>$395</t>
        </is>
      </c>
      <c r="E16" s="31" t="inlineStr">
        <is>
          <t>—</t>
        </is>
      </c>
      <c r="F16" s="31" t="inlineStr">
        <is>
          <t>—</t>
        </is>
      </c>
      <c r="G16" s="31" t="inlineStr">
        <is>
          <t>—</t>
        </is>
      </c>
      <c r="H16" s="32" t="inlineStr">
        <is>
          <t>GONE in Yr2</t>
        </is>
      </c>
    </row>
    <row r="17" ht="18" customHeight="1">
      <c r="A17" s="30" t="inlineStr">
        <is>
          <t>Survey Refresh</t>
        </is>
      </c>
      <c r="B17" s="31" t="n">
        <v>34</v>
      </c>
      <c r="C17" s="31" t="inlineStr">
        <is>
          <t>$11,375</t>
        </is>
      </c>
      <c r="D17" s="31" t="inlineStr">
        <is>
          <t>$335</t>
        </is>
      </c>
      <c r="E17" s="31" t="inlineStr">
        <is>
          <t>—</t>
        </is>
      </c>
      <c r="F17" s="31" t="inlineStr">
        <is>
          <t>—</t>
        </is>
      </c>
      <c r="G17" s="31" t="inlineStr">
        <is>
          <t>—</t>
        </is>
      </c>
      <c r="H17" s="32" t="inlineStr">
        <is>
          <t>GONE in Yr2</t>
        </is>
      </c>
    </row>
    <row r="18" ht="18" customHeight="1">
      <c r="A18" s="30" t="inlineStr">
        <is>
          <t>Topo / Update</t>
        </is>
      </c>
      <c r="B18" s="31" t="n">
        <v>21</v>
      </c>
      <c r="C18" s="31" t="inlineStr">
        <is>
          <t>$12,375</t>
        </is>
      </c>
      <c r="D18" s="31" t="inlineStr">
        <is>
          <t>$589</t>
        </is>
      </c>
      <c r="E18" s="31" t="inlineStr">
        <is>
          <t>—</t>
        </is>
      </c>
      <c r="F18" s="31" t="inlineStr">
        <is>
          <t>—</t>
        </is>
      </c>
      <c r="G18" s="31" t="inlineStr">
        <is>
          <t>—</t>
        </is>
      </c>
      <c r="H18" s="32" t="inlineStr">
        <is>
          <t>GONE in Yr2</t>
        </is>
      </c>
    </row>
    <row r="19" ht="18" customHeight="1">
      <c r="A19" s="33" t="inlineStr">
        <is>
          <t>CAD file / CAD</t>
        </is>
      </c>
      <c r="B19" s="34" t="inlineStr">
        <is>
          <t>—</t>
        </is>
      </c>
      <c r="C19" s="34" t="inlineStr">
        <is>
          <t>—</t>
        </is>
      </c>
      <c r="D19" s="34" t="inlineStr">
        <is>
          <t>—</t>
        </is>
      </c>
      <c r="E19" s="34" t="n">
        <v>96</v>
      </c>
      <c r="F19" s="34" t="inlineStr">
        <is>
          <t>$23,550</t>
        </is>
      </c>
      <c r="G19" s="34" t="inlineStr">
        <is>
          <t>$250</t>
        </is>
      </c>
      <c r="H19" s="35" t="inlineStr">
        <is>
          <t>NEW in Yr2</t>
        </is>
      </c>
    </row>
    <row r="20" ht="18" customHeight="1">
      <c r="A20" s="33" t="inlineStr">
        <is>
          <t>Construction Survey Update</t>
        </is>
      </c>
      <c r="B20" s="34" t="inlineStr">
        <is>
          <t>—</t>
        </is>
      </c>
      <c r="C20" s="34" t="inlineStr">
        <is>
          <t>—</t>
        </is>
      </c>
      <c r="D20" s="34" t="inlineStr">
        <is>
          <t>—</t>
        </is>
      </c>
      <c r="E20" s="34" t="n">
        <v>5</v>
      </c>
      <c r="F20" s="34" t="inlineStr">
        <is>
          <t>$2,200</t>
        </is>
      </c>
      <c r="G20" s="34" t="inlineStr">
        <is>
          <t>$440</t>
        </is>
      </c>
      <c r="H20" s="35" t="inlineStr">
        <is>
          <t>NEW in Yr2</t>
        </is>
      </c>
    </row>
    <row r="23">
      <c r="A23" s="36" t="inlineStr">
        <is>
          <t>Legend</t>
        </is>
      </c>
      <c r="B23" s="36" t="inlineStr"/>
      <c r="C23" s="36" t="inlineStr"/>
      <c r="D23" s="36" t="inlineStr"/>
      <c r="E23" s="36" t="inlineStr"/>
      <c r="F23" s="36" t="inlineStr"/>
      <c r="G23" s="36" t="inlineStr"/>
      <c r="H23" s="36" t="inlineStr"/>
    </row>
    <row r="24">
      <c r="A24" s="37" t="inlineStr">
        <is>
          <t xml:space="preserve">   </t>
        </is>
      </c>
      <c r="B24" s="37" t="inlineStr">
        <is>
          <t>Volume increased &gt;10% YoY</t>
        </is>
      </c>
    </row>
    <row r="25">
      <c r="A25" s="38" t="inlineStr">
        <is>
          <t xml:space="preserve">   </t>
        </is>
      </c>
      <c r="B25" s="38" t="inlineStr">
        <is>
          <t>Volume decreased &gt;10% YoY</t>
        </is>
      </c>
    </row>
    <row r="26">
      <c r="A26" s="39" t="inlineStr">
        <is>
          <t xml:space="preserve">   </t>
        </is>
      </c>
      <c r="B26" s="39" t="inlineStr">
        <is>
          <t>New service — appeared in Yr2 only</t>
        </is>
      </c>
    </row>
    <row r="27">
      <c r="A27" s="40" t="inlineStr">
        <is>
          <t xml:space="preserve">   </t>
        </is>
      </c>
      <c r="B27" s="40" t="inlineStr">
        <is>
          <t>Disappeared — was in Yr1, not Yr2</t>
        </is>
      </c>
    </row>
    <row r="28">
      <c r="A28" s="41" t="inlineStr">
        <is>
          <t xml:space="preserve">   </t>
        </is>
      </c>
      <c r="B28" s="41" t="inlineStr">
        <is>
          <t>Stable service</t>
        </is>
      </c>
    </row>
  </sheetData>
  <mergeCells count="6">
    <mergeCell ref="A1:H1"/>
    <mergeCell ref="B26:H26"/>
    <mergeCell ref="B27:H27"/>
    <mergeCell ref="B24:H24"/>
    <mergeCell ref="B25:H25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" customWidth="1" min="4" max="4"/>
    <col width="12" customWidth="1" min="5" max="5"/>
    <col width="14" customWidth="1" min="6" max="6"/>
    <col width="16" customWidth="1" min="7" max="7"/>
  </cols>
  <sheetData>
    <row r="1" ht="24" customHeight="1">
      <c r="A1" s="19" t="inlineStr">
        <is>
          <t>Monthly Revenue Trend — Both Years</t>
        </is>
      </c>
    </row>
    <row r="2" ht="22" customHeight="1">
      <c r="A2" s="20" t="inlineStr">
        <is>
          <t>Month (May 2024)</t>
        </is>
      </c>
      <c r="B2" s="20" t="inlineStr">
        <is>
          <t>Orders</t>
        </is>
      </c>
      <c r="C2" s="20" t="inlineStr">
        <is>
          <t>Revenue</t>
        </is>
      </c>
      <c r="D2" s="20" t="inlineStr"/>
      <c r="E2" s="20" t="inlineStr">
        <is>
          <t>Month (May 2025)</t>
        </is>
      </c>
      <c r="F2" s="20" t="inlineStr">
        <is>
          <t>Orders</t>
        </is>
      </c>
      <c r="G2" s="20" t="inlineStr">
        <is>
          <t>Revenue</t>
        </is>
      </c>
    </row>
    <row r="3" ht="16" customHeight="1">
      <c r="A3" s="22" t="inlineStr">
        <is>
          <t>2024-05</t>
        </is>
      </c>
      <c r="B3" s="22" t="n">
        <v>574</v>
      </c>
      <c r="C3" s="41" t="inlineStr">
        <is>
          <t>$274,949</t>
        </is>
      </c>
      <c r="D3" s="42" t="inlineStr"/>
      <c r="E3" s="22" t="inlineStr">
        <is>
          <t>2025-05</t>
        </is>
      </c>
      <c r="F3" s="22" t="n">
        <v>415</v>
      </c>
      <c r="G3" s="41" t="inlineStr">
        <is>
          <t>$209,995</t>
        </is>
      </c>
    </row>
    <row r="4" ht="16" customHeight="1">
      <c r="A4" s="25" t="inlineStr">
        <is>
          <t>2024-06</t>
        </is>
      </c>
      <c r="B4" s="25" t="n">
        <v>2444</v>
      </c>
      <c r="C4" s="24" t="inlineStr">
        <is>
          <t>$1,084,766</t>
        </is>
      </c>
      <c r="D4" s="42" t="inlineStr"/>
      <c r="E4" s="22" t="inlineStr">
        <is>
          <t>2025-06</t>
        </is>
      </c>
      <c r="F4" s="22" t="n">
        <v>1803</v>
      </c>
      <c r="G4" s="41" t="inlineStr">
        <is>
          <t>$998,687</t>
        </is>
      </c>
    </row>
    <row r="5" ht="16" customHeight="1">
      <c r="A5" s="25" t="inlineStr">
        <is>
          <t>2024-07</t>
        </is>
      </c>
      <c r="B5" s="25" t="n">
        <v>2377</v>
      </c>
      <c r="C5" s="24" t="inlineStr">
        <is>
          <t>$1,171,980</t>
        </is>
      </c>
      <c r="D5" s="42" t="inlineStr"/>
      <c r="E5" s="25" t="inlineStr">
        <is>
          <t>2025-07</t>
        </is>
      </c>
      <c r="F5" s="25" t="n">
        <v>2090</v>
      </c>
      <c r="G5" s="24" t="inlineStr">
        <is>
          <t>$1,165,818</t>
        </is>
      </c>
    </row>
    <row r="6" ht="16" customHeight="1">
      <c r="A6" s="22" t="inlineStr">
        <is>
          <t>2024-08</t>
        </is>
      </c>
      <c r="B6" s="22" t="n">
        <v>1973</v>
      </c>
      <c r="C6" s="41" t="inlineStr">
        <is>
          <t>$1,030,295</t>
        </is>
      </c>
      <c r="D6" s="42" t="inlineStr"/>
      <c r="E6" s="25" t="inlineStr">
        <is>
          <t>2025-08</t>
        </is>
      </c>
      <c r="F6" s="25" t="n">
        <v>2020</v>
      </c>
      <c r="G6" s="24" t="inlineStr">
        <is>
          <t>$1,136,099</t>
        </is>
      </c>
    </row>
    <row r="7" ht="16" customHeight="1">
      <c r="A7" s="22" t="inlineStr">
        <is>
          <t>2024-09</t>
        </is>
      </c>
      <c r="B7" s="22" t="n">
        <v>1858</v>
      </c>
      <c r="C7" s="41" t="inlineStr">
        <is>
          <t>$943,290</t>
        </is>
      </c>
      <c r="D7" s="42" t="inlineStr"/>
      <c r="E7" s="22" t="inlineStr">
        <is>
          <t>2025-09</t>
        </is>
      </c>
      <c r="F7" s="22" t="n">
        <v>1944</v>
      </c>
      <c r="G7" s="41" t="inlineStr">
        <is>
          <t>$1,100,770</t>
        </is>
      </c>
    </row>
    <row r="8" ht="16" customHeight="1">
      <c r="A8" s="22" t="inlineStr">
        <is>
          <t>2024-10</t>
        </is>
      </c>
      <c r="B8" s="22" t="n">
        <v>1840</v>
      </c>
      <c r="C8" s="41" t="inlineStr">
        <is>
          <t>$910,882</t>
        </is>
      </c>
      <c r="D8" s="42" t="inlineStr"/>
      <c r="E8" s="22" t="inlineStr">
        <is>
          <t>2025-10</t>
        </is>
      </c>
      <c r="F8" s="22" t="n">
        <v>1990</v>
      </c>
      <c r="G8" s="41" t="inlineStr">
        <is>
          <t>$1,208,782</t>
        </is>
      </c>
    </row>
    <row r="9" ht="16" customHeight="1">
      <c r="A9" s="22" t="inlineStr">
        <is>
          <t>2024-11</t>
        </is>
      </c>
      <c r="B9" s="22" t="n">
        <v>1872</v>
      </c>
      <c r="C9" s="41" t="inlineStr">
        <is>
          <t>$873,275</t>
        </is>
      </c>
      <c r="D9" s="42" t="inlineStr"/>
      <c r="E9" s="22" t="inlineStr">
        <is>
          <t>2025-11</t>
        </is>
      </c>
      <c r="F9" s="22" t="n">
        <v>1564</v>
      </c>
      <c r="G9" s="41" t="inlineStr">
        <is>
          <t>$899,195</t>
        </is>
      </c>
    </row>
    <row r="10" ht="16" customHeight="1">
      <c r="A10" s="22" t="inlineStr">
        <is>
          <t>2024-12</t>
        </is>
      </c>
      <c r="B10" s="22" t="n">
        <v>1842</v>
      </c>
      <c r="C10" s="41" t="inlineStr">
        <is>
          <t>$903,250</t>
        </is>
      </c>
      <c r="D10" s="42" t="inlineStr"/>
      <c r="E10" s="22" t="inlineStr">
        <is>
          <t>2025-12</t>
        </is>
      </c>
      <c r="F10" s="22" t="n">
        <v>1724</v>
      </c>
      <c r="G10" s="41" t="inlineStr">
        <is>
          <t>$1,061,520</t>
        </is>
      </c>
    </row>
    <row r="11" ht="16" customHeight="1">
      <c r="A11" s="25" t="inlineStr">
        <is>
          <t>2025-01</t>
        </is>
      </c>
      <c r="B11" s="25" t="n">
        <v>2069</v>
      </c>
      <c r="C11" s="24" t="inlineStr">
        <is>
          <t>$1,099,042</t>
        </is>
      </c>
      <c r="D11" s="42" t="inlineStr"/>
      <c r="E11" s="22" t="inlineStr">
        <is>
          <t>2026-01</t>
        </is>
      </c>
      <c r="F11" s="22" t="n">
        <v>1657</v>
      </c>
      <c r="G11" s="41" t="inlineStr">
        <is>
          <t>$1,016,150</t>
        </is>
      </c>
    </row>
    <row r="12" ht="16" customHeight="1">
      <c r="A12" s="22" t="inlineStr">
        <is>
          <t>2025-02</t>
        </is>
      </c>
      <c r="B12" s="22" t="n">
        <v>1930</v>
      </c>
      <c r="C12" s="41" t="inlineStr">
        <is>
          <t>$1,058,788</t>
        </is>
      </c>
      <c r="D12" s="42" t="inlineStr"/>
      <c r="E12" s="22" t="inlineStr">
        <is>
          <t>2026-02</t>
        </is>
      </c>
      <c r="F12" s="22" t="n">
        <v>1723</v>
      </c>
      <c r="G12" s="41" t="inlineStr">
        <is>
          <t>$950,890</t>
        </is>
      </c>
    </row>
    <row r="13" ht="16" customHeight="1">
      <c r="A13" s="25" t="inlineStr">
        <is>
          <t>2025-03</t>
        </is>
      </c>
      <c r="B13" s="25" t="n">
        <v>2139</v>
      </c>
      <c r="C13" s="24" t="inlineStr">
        <is>
          <t>$1,135,464</t>
        </is>
      </c>
      <c r="D13" s="42" t="inlineStr"/>
      <c r="E13" s="25" t="inlineStr">
        <is>
          <t>2026-03</t>
        </is>
      </c>
      <c r="F13" s="25" t="n">
        <v>2219</v>
      </c>
      <c r="G13" s="24" t="inlineStr">
        <is>
          <t>$1,217,541</t>
        </is>
      </c>
    </row>
    <row r="14" ht="16" customHeight="1">
      <c r="A14" s="25" t="inlineStr">
        <is>
          <t>2025-04</t>
        </is>
      </c>
      <c r="B14" s="25" t="n">
        <v>2031</v>
      </c>
      <c r="C14" s="24" t="inlineStr">
        <is>
          <t>$1,126,679</t>
        </is>
      </c>
      <c r="D14" s="42" t="inlineStr"/>
      <c r="E14" s="25" t="inlineStr">
        <is>
          <t>2026-04</t>
        </is>
      </c>
      <c r="F14" s="25" t="n">
        <v>2212</v>
      </c>
      <c r="G14" s="24" t="inlineStr">
        <is>
          <t>$1,304,785</t>
        </is>
      </c>
    </row>
    <row r="15" ht="16" customHeight="1">
      <c r="A15" s="22" t="inlineStr">
        <is>
          <t>2025-05</t>
        </is>
      </c>
      <c r="B15" s="22" t="n">
        <v>1523</v>
      </c>
      <c r="C15" s="41" t="inlineStr">
        <is>
          <t>$790,210</t>
        </is>
      </c>
      <c r="D15" s="42" t="inlineStr"/>
      <c r="E15" s="22" t="inlineStr">
        <is>
          <t>2026-05</t>
        </is>
      </c>
      <c r="F15" s="22" t="n">
        <v>1692</v>
      </c>
      <c r="G15" s="41" t="inlineStr">
        <is>
          <t>$941,167</t>
        </is>
      </c>
    </row>
    <row r="16">
      <c r="A16" s="43" t="inlineStr">
        <is>
          <t>TOTAL</t>
        </is>
      </c>
      <c r="B16" s="43" t="n">
        <v>24472</v>
      </c>
      <c r="C16" s="43" t="inlineStr">
        <is>
          <t>$12,402,870</t>
        </is>
      </c>
      <c r="D16" s="43" t="inlineStr"/>
      <c r="E16" s="43" t="inlineStr">
        <is>
          <t>TOTAL</t>
        </is>
      </c>
      <c r="F16" s="43" t="n">
        <v>23053</v>
      </c>
      <c r="G16" s="43" t="inlineStr">
        <is>
          <t>$13,211,399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2" customWidth="1" min="7" max="7"/>
  </cols>
  <sheetData>
    <row r="1" ht="24" customHeight="1">
      <c r="A1" s="19" t="inlineStr">
        <is>
          <t>Price Distribution — Land Survey Only (Both Years)</t>
        </is>
      </c>
    </row>
    <row r="2" ht="32" customHeight="1">
      <c r="A2" s="20" t="inlineStr">
        <is>
          <t>Price Bucket</t>
        </is>
      </c>
      <c r="B2" s="20" t="inlineStr">
        <is>
          <t>Yr1 Count
May 2024</t>
        </is>
      </c>
      <c r="C2" s="20" t="inlineStr">
        <is>
          <t>Yr1 Avg</t>
        </is>
      </c>
      <c r="D2" s="20" t="inlineStr">
        <is>
          <t>Yr2 Count
May 2025</t>
        </is>
      </c>
      <c r="E2" s="20" t="inlineStr">
        <is>
          <t>Yr2 Avg</t>
        </is>
      </c>
      <c r="F2" s="20" t="inlineStr">
        <is>
          <t>Count Change</t>
        </is>
      </c>
      <c r="G2" s="20" t="inlineStr">
        <is>
          <t>Interpretation</t>
        </is>
      </c>
    </row>
    <row r="3" ht="18" customHeight="1">
      <c r="A3" s="41" t="inlineStr">
        <is>
          <t>&lt;$350</t>
        </is>
      </c>
      <c r="B3" s="22" t="n">
        <v>1923</v>
      </c>
      <c r="C3" s="22" t="inlineStr">
        <is>
          <t>$277</t>
        </is>
      </c>
      <c r="D3" s="22" t="n">
        <v>1467</v>
      </c>
      <c r="E3" s="22" t="inlineStr">
        <is>
          <t>$170</t>
        </is>
      </c>
      <c r="F3" s="22" t="inlineStr">
        <is>
          <t>-23.7%</t>
        </is>
      </c>
      <c r="G3" s="23" t="inlineStr">
        <is>
          <t>Below catalogue ($350) — discounts/credits</t>
        </is>
      </c>
    </row>
    <row r="4" ht="18" customHeight="1">
      <c r="A4" s="30" t="inlineStr">
        <is>
          <t>$350–$399</t>
        </is>
      </c>
      <c r="B4" s="44" t="n">
        <v>6436</v>
      </c>
      <c r="C4" s="31" t="inlineStr">
        <is>
          <t>$352</t>
        </is>
      </c>
      <c r="D4" s="31" t="n">
        <v>1371</v>
      </c>
      <c r="E4" s="31" t="inlineStr">
        <is>
          <t>$373</t>
        </is>
      </c>
      <c r="F4" s="31" t="inlineStr">
        <is>
          <t>-78.7%</t>
        </is>
      </c>
      <c r="G4" s="32" t="inlineStr">
        <is>
          <t>Near catalogue — baseline simple jobs</t>
        </is>
      </c>
    </row>
    <row r="5" ht="18" customHeight="1">
      <c r="A5" s="24" t="inlineStr">
        <is>
          <t>$400–$449</t>
        </is>
      </c>
      <c r="B5" s="25" t="n">
        <v>2361</v>
      </c>
      <c r="C5" s="25" t="inlineStr">
        <is>
          <t>$401</t>
        </is>
      </c>
      <c r="D5" s="45" t="n">
        <v>4691</v>
      </c>
      <c r="E5" s="25" t="inlineStr">
        <is>
          <t>$400</t>
        </is>
      </c>
      <c r="F5" s="25" t="inlineStr">
        <is>
          <t>+98.7%</t>
        </is>
      </c>
      <c r="G5" s="26" t="inlineStr">
        <is>
          <t>NEW modal price in Yr2 (was modal in Yr1 too but $350-399) — price floor shifted</t>
        </is>
      </c>
    </row>
    <row r="6" ht="18" customHeight="1">
      <c r="A6" s="41" t="inlineStr">
        <is>
          <t>$450–$499</t>
        </is>
      </c>
      <c r="B6" s="22" t="n">
        <v>862</v>
      </c>
      <c r="C6" s="22" t="inlineStr">
        <is>
          <t>$456</t>
        </is>
      </c>
      <c r="D6" s="22" t="n">
        <v>2332</v>
      </c>
      <c r="E6" s="22" t="inlineStr">
        <is>
          <t>$464</t>
        </is>
      </c>
      <c r="F6" s="22" t="inlineStr">
        <is>
          <t>+170.5%</t>
        </is>
      </c>
      <c r="G6" s="23" t="inlineStr">
        <is>
          <t>Growing bucket — more mid-range jobs</t>
        </is>
      </c>
    </row>
    <row r="7" ht="18" customHeight="1">
      <c r="A7" s="41" t="inlineStr">
        <is>
          <t>$500–$549</t>
        </is>
      </c>
      <c r="B7" s="22" t="n">
        <v>385</v>
      </c>
      <c r="C7" s="22" t="inlineStr">
        <is>
          <t>$505</t>
        </is>
      </c>
      <c r="D7" s="22" t="n">
        <v>448</v>
      </c>
      <c r="E7" s="22" t="inlineStr">
        <is>
          <t>$505</t>
        </is>
      </c>
      <c r="F7" s="22" t="inlineStr">
        <is>
          <t>+16.4%</t>
        </is>
      </c>
      <c r="G7" s="23" t="inlineStr">
        <is>
          <t>Stable mid-range</t>
        </is>
      </c>
    </row>
    <row r="8" ht="18" customHeight="1">
      <c r="A8" s="41" t="inlineStr">
        <is>
          <t>$550–$599</t>
        </is>
      </c>
      <c r="B8" s="22" t="n">
        <v>218</v>
      </c>
      <c r="C8" s="22" t="inlineStr">
        <is>
          <t>$558</t>
        </is>
      </c>
      <c r="D8" s="22" t="n">
        <v>572</v>
      </c>
      <c r="E8" s="22" t="inlineStr">
        <is>
          <t>$563</t>
        </is>
      </c>
      <c r="F8" s="22" t="inlineStr">
        <is>
          <t>+162.4%</t>
        </is>
      </c>
      <c r="G8" s="23" t="inlineStr">
        <is>
          <t>Growing — more complex/larger lots</t>
        </is>
      </c>
    </row>
    <row r="9" ht="18" customHeight="1">
      <c r="A9" s="41" t="inlineStr">
        <is>
          <t>$600–$699</t>
        </is>
      </c>
      <c r="B9" s="22" t="n">
        <v>434</v>
      </c>
      <c r="C9" s="22" t="inlineStr">
        <is>
          <t>$630</t>
        </is>
      </c>
      <c r="D9" s="22" t="n">
        <v>483</v>
      </c>
      <c r="E9" s="22" t="inlineStr">
        <is>
          <t>$636</t>
        </is>
      </c>
      <c r="F9" s="22" t="inlineStr">
        <is>
          <t>+11.3%</t>
        </is>
      </c>
      <c r="G9" s="23" t="inlineStr">
        <is>
          <t>High-complexity / large lot</t>
        </is>
      </c>
    </row>
    <row r="10" ht="18" customHeight="1">
      <c r="A10" s="41" t="inlineStr">
        <is>
          <t>$700–$799</t>
        </is>
      </c>
      <c r="B10" s="22" t="n">
        <v>244</v>
      </c>
      <c r="C10" s="22" t="inlineStr">
        <is>
          <t>$734</t>
        </is>
      </c>
      <c r="D10" s="22" t="n">
        <v>382</v>
      </c>
      <c r="E10" s="22" t="inlineStr">
        <is>
          <t>$744</t>
        </is>
      </c>
      <c r="F10" s="22" t="inlineStr">
        <is>
          <t>+56.6%</t>
        </is>
      </c>
      <c r="G10" s="23" t="inlineStr">
        <is>
          <t>Premium jobs</t>
        </is>
      </c>
    </row>
    <row r="11" ht="18" customHeight="1">
      <c r="A11" s="41" t="inlineStr">
        <is>
          <t>$800–$999</t>
        </is>
      </c>
      <c r="B11" s="22" t="n">
        <v>377</v>
      </c>
      <c r="C11" s="22" t="inlineStr">
        <is>
          <t>$845</t>
        </is>
      </c>
      <c r="D11" s="22" t="n">
        <v>432</v>
      </c>
      <c r="E11" s="22" t="inlineStr">
        <is>
          <t>$862</t>
        </is>
      </c>
      <c r="F11" s="22" t="inlineStr">
        <is>
          <t>+14.6%</t>
        </is>
      </c>
      <c r="G11" s="23" t="inlineStr">
        <is>
          <t>Commercial or very complex</t>
        </is>
      </c>
    </row>
    <row r="12" ht="18" customHeight="1">
      <c r="A12" s="41" t="inlineStr">
        <is>
          <t>$1,000+</t>
        </is>
      </c>
      <c r="B12" s="22" t="n">
        <v>604</v>
      </c>
      <c r="C12" s="22" t="inlineStr">
        <is>
          <t>$2229</t>
        </is>
      </c>
      <c r="D12" s="22" t="n">
        <v>1083</v>
      </c>
      <c r="E12" s="22" t="inlineStr">
        <is>
          <t>$2712</t>
        </is>
      </c>
      <c r="F12" s="22" t="inlineStr">
        <is>
          <t>+79.3%</t>
        </is>
      </c>
      <c r="G12" s="23" t="inlineStr">
        <is>
          <t>Commercial / ALTA / multi-service or complex rural — avg $2,711 in Yr2</t>
        </is>
      </c>
    </row>
    <row r="15" ht="24" customHeight="1">
      <c r="A15" s="46" t="inlineStr">
        <is>
          <t>PRICING SHIFT ANALYSIS</t>
        </is>
      </c>
    </row>
    <row r="16" ht="22" customHeight="1">
      <c r="A16" s="17" t="inlineStr">
        <is>
          <t>Modal price shift</t>
        </is>
      </c>
      <c r="B16" s="47" t="inlineStr">
        <is>
          <t>$350-399 was dominant in Yr1 (6,436 orders = 46%). In Yr2, $400-449 is modal (4,691 = 35%). The floor price increased by $50.</t>
        </is>
      </c>
    </row>
    <row r="17" ht="22" customHeight="1">
      <c r="A17" s="17" t="inlineStr">
        <is>
          <t>$1,000+ bucket grew +79%</t>
        </is>
      </c>
      <c r="B17" s="47" t="inlineStr">
        <is>
          <t>604 orders in Yr1 vs 1,083 in Yr2. More commercial and complex rural jobs being billed at premium rates.</t>
        </is>
      </c>
    </row>
    <row r="18" ht="22" customHeight="1">
      <c r="A18" s="17" t="inlineStr">
        <is>
          <t>$350-399 collapsed -78%</t>
        </is>
      </c>
      <c r="B18" s="47" t="inlineStr">
        <is>
          <t>6,436 → 1,371 orders. NexGen stopped taking/discounting low-end jobs OR properly repriced them.</t>
        </is>
      </c>
    </row>
    <row r="19" ht="22" customHeight="1">
      <c r="A19" s="17" t="inlineStr">
        <is>
          <t>Avg increased $474 → $616</t>
        </is>
      </c>
      <c r="B19" s="47" t="inlineStr">
        <is>
          <t>+29.7% YoY. Significant price increase — largest YoY jump in at least 2 years.</t>
        </is>
      </c>
    </row>
  </sheetData>
  <mergeCells count="6">
    <mergeCell ref="B16:G16"/>
    <mergeCell ref="B19:G19"/>
    <mergeCell ref="A1:G1"/>
    <mergeCell ref="B17:G17"/>
    <mergeCell ref="B18:G18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20" customWidth="1" min="7" max="7"/>
  </cols>
  <sheetData>
    <row r="1" ht="24" customHeight="1">
      <c r="A1" s="19" t="inlineStr">
        <is>
          <t>County Pricing — Land Survey Only Actuals (Both Years)</t>
        </is>
      </c>
    </row>
    <row r="2" ht="32" customHeight="1">
      <c r="A2" s="20" t="inlineStr">
        <is>
          <t>County</t>
        </is>
      </c>
      <c r="B2" s="20" t="inlineStr">
        <is>
          <t>Yr1 Orders
May 2024</t>
        </is>
      </c>
      <c r="C2" s="20" t="inlineStr">
        <is>
          <t>Yr1 Avg Price</t>
        </is>
      </c>
      <c r="D2" s="20" t="inlineStr">
        <is>
          <t>Yr2 Orders
May 2025</t>
        </is>
      </c>
      <c r="E2" s="20" t="inlineStr">
        <is>
          <t>Yr2 Avg Price</t>
        </is>
      </c>
      <c r="F2" s="20" t="inlineStr">
        <is>
          <t>Avg Change</t>
        </is>
      </c>
      <c r="G2" s="20" t="inlineStr">
        <is>
          <t>Tier</t>
        </is>
      </c>
    </row>
    <row r="3" ht="16" customHeight="1">
      <c r="A3" s="37" t="inlineStr">
        <is>
          <t>PALM BEACH</t>
        </is>
      </c>
      <c r="B3" s="25" t="inlineStr">
        <is>
          <t>—</t>
        </is>
      </c>
      <c r="C3" s="25" t="inlineStr">
        <is>
          <t>—</t>
        </is>
      </c>
      <c r="D3" s="25" t="n">
        <v>3310</v>
      </c>
      <c r="E3" s="25" t="inlineStr">
        <is>
          <t>$572</t>
        </is>
      </c>
      <c r="F3" s="25" t="inlineStr">
        <is>
          <t>New</t>
        </is>
      </c>
      <c r="G3" s="37" t="inlineStr">
        <is>
          <t>South FL</t>
        </is>
      </c>
    </row>
    <row r="4" ht="16" customHeight="1">
      <c r="A4" s="37" t="inlineStr">
        <is>
          <t>BROWARD</t>
        </is>
      </c>
      <c r="B4" s="25" t="inlineStr">
        <is>
          <t>—</t>
        </is>
      </c>
      <c r="C4" s="25" t="inlineStr">
        <is>
          <t>—</t>
        </is>
      </c>
      <c r="D4" s="25" t="n">
        <v>1398</v>
      </c>
      <c r="E4" s="25" t="inlineStr">
        <is>
          <t>$512</t>
        </is>
      </c>
      <c r="F4" s="25" t="inlineStr">
        <is>
          <t>New</t>
        </is>
      </c>
      <c r="G4" s="37" t="inlineStr">
        <is>
          <t>South FL</t>
        </is>
      </c>
    </row>
    <row r="5" ht="16" customHeight="1">
      <c r="A5" s="37" t="inlineStr">
        <is>
          <t>LEE</t>
        </is>
      </c>
      <c r="B5" s="25" t="inlineStr">
        <is>
          <t>—</t>
        </is>
      </c>
      <c r="C5" s="25" t="inlineStr">
        <is>
          <t>—</t>
        </is>
      </c>
      <c r="D5" s="25" t="n">
        <v>947</v>
      </c>
      <c r="E5" s="25" t="inlineStr">
        <is>
          <t>$500</t>
        </is>
      </c>
      <c r="F5" s="25" t="inlineStr">
        <is>
          <t>New</t>
        </is>
      </c>
      <c r="G5" s="37" t="inlineStr">
        <is>
          <t>SW FL</t>
        </is>
      </c>
    </row>
    <row r="6" ht="16" customHeight="1">
      <c r="A6" s="47" t="inlineStr">
        <is>
          <t>HILLSBOROUGH</t>
        </is>
      </c>
      <c r="B6" s="48" t="n">
        <v>704</v>
      </c>
      <c r="C6" s="48" t="inlineStr">
        <is>
          <t>$440</t>
        </is>
      </c>
      <c r="D6" s="48" t="n">
        <v>680</v>
      </c>
      <c r="E6" s="48" t="inlineStr">
        <is>
          <t>$575</t>
        </is>
      </c>
      <c r="F6" s="48" t="inlineStr">
        <is>
          <t>+30.8%</t>
        </is>
      </c>
      <c r="G6" s="47" t="inlineStr">
        <is>
          <t>Central FL</t>
        </is>
      </c>
    </row>
    <row r="7" ht="16" customHeight="1">
      <c r="A7" s="39" t="inlineStr">
        <is>
          <t>ST. LUCIE</t>
        </is>
      </c>
      <c r="B7" s="34" t="inlineStr">
        <is>
          <t>—</t>
        </is>
      </c>
      <c r="C7" s="34" t="inlineStr">
        <is>
          <t>—</t>
        </is>
      </c>
      <c r="D7" s="34" t="n">
        <v>595</v>
      </c>
      <c r="E7" s="34" t="inlineStr">
        <is>
          <t>$464</t>
        </is>
      </c>
      <c r="F7" s="34" t="inlineStr">
        <is>
          <t>New</t>
        </is>
      </c>
      <c r="G7" s="39" t="inlineStr">
        <is>
          <t>Treasure Coast</t>
        </is>
      </c>
    </row>
    <row r="8" ht="16" customHeight="1">
      <c r="A8" s="37" t="inlineStr">
        <is>
          <t>MIAMI-DADE</t>
        </is>
      </c>
      <c r="B8" s="25" t="n">
        <v>508</v>
      </c>
      <c r="C8" s="25" t="inlineStr">
        <is>
          <t>$459</t>
        </is>
      </c>
      <c r="D8" s="25" t="n">
        <v>587</v>
      </c>
      <c r="E8" s="25" t="inlineStr">
        <is>
          <t>$548</t>
        </is>
      </c>
      <c r="F8" s="25" t="inlineStr">
        <is>
          <t>+19.5%</t>
        </is>
      </c>
      <c r="G8" s="37" t="inlineStr">
        <is>
          <t>South FL</t>
        </is>
      </c>
    </row>
    <row r="9" ht="16" customHeight="1">
      <c r="A9" s="37" t="inlineStr">
        <is>
          <t>SARASOTA</t>
        </is>
      </c>
      <c r="B9" s="25" t="n">
        <v>568</v>
      </c>
      <c r="C9" s="25" t="inlineStr">
        <is>
          <t>$459</t>
        </is>
      </c>
      <c r="D9" s="25" t="n">
        <v>502</v>
      </c>
      <c r="E9" s="25" t="inlineStr">
        <is>
          <t>$556</t>
        </is>
      </c>
      <c r="F9" s="25" t="inlineStr">
        <is>
          <t>+21.0%</t>
        </is>
      </c>
      <c r="G9" s="37" t="inlineStr">
        <is>
          <t>Gulf Coast</t>
        </is>
      </c>
    </row>
    <row r="10" ht="16" customHeight="1">
      <c r="A10" s="37" t="inlineStr">
        <is>
          <t>PINELLAS</t>
        </is>
      </c>
      <c r="B10" s="25" t="inlineStr">
        <is>
          <t>—</t>
        </is>
      </c>
      <c r="C10" s="25" t="inlineStr">
        <is>
          <t>—</t>
        </is>
      </c>
      <c r="D10" s="25" t="n">
        <v>418</v>
      </c>
      <c r="E10" s="25" t="inlineStr">
        <is>
          <t>$527</t>
        </is>
      </c>
      <c r="F10" s="25" t="inlineStr">
        <is>
          <t>New</t>
        </is>
      </c>
      <c r="G10" s="37" t="inlineStr">
        <is>
          <t>Gulf Coast</t>
        </is>
      </c>
    </row>
    <row r="11" ht="16" customHeight="1">
      <c r="A11" s="37" t="inlineStr">
        <is>
          <t>MANATEE</t>
        </is>
      </c>
      <c r="B11" s="25" t="n">
        <v>438</v>
      </c>
      <c r="C11" s="25" t="inlineStr">
        <is>
          <t>$460</t>
        </is>
      </c>
      <c r="D11" s="25" t="n">
        <v>380</v>
      </c>
      <c r="E11" s="25" t="inlineStr">
        <is>
          <t>$584</t>
        </is>
      </c>
      <c r="F11" s="25" t="inlineStr">
        <is>
          <t>+27.1%</t>
        </is>
      </c>
      <c r="G11" s="37" t="inlineStr">
        <is>
          <t>Gulf Coast</t>
        </is>
      </c>
    </row>
    <row r="12" ht="16" customHeight="1">
      <c r="A12" s="47" t="inlineStr">
        <is>
          <t>PASCO</t>
        </is>
      </c>
      <c r="B12" s="48" t="inlineStr">
        <is>
          <t>—</t>
        </is>
      </c>
      <c r="C12" s="48" t="inlineStr">
        <is>
          <t>—</t>
        </is>
      </c>
      <c r="D12" s="48" t="n">
        <v>350</v>
      </c>
      <c r="E12" s="48" t="inlineStr">
        <is>
          <t>$609</t>
        </is>
      </c>
      <c r="F12" s="48" t="inlineStr">
        <is>
          <t>New</t>
        </is>
      </c>
      <c r="G12" s="47" t="inlineStr">
        <is>
          <t>Central FL</t>
        </is>
      </c>
    </row>
    <row r="13" ht="16" customHeight="1">
      <c r="A13" s="47" t="inlineStr">
        <is>
          <t>BREVARD</t>
        </is>
      </c>
      <c r="B13" s="48" t="inlineStr">
        <is>
          <t>—</t>
        </is>
      </c>
      <c r="C13" s="48" t="inlineStr">
        <is>
          <t>—</t>
        </is>
      </c>
      <c r="D13" s="48" t="n">
        <v>347</v>
      </c>
      <c r="E13" s="48" t="inlineStr">
        <is>
          <t>$560</t>
        </is>
      </c>
      <c r="F13" s="48" t="inlineStr">
        <is>
          <t>New</t>
        </is>
      </c>
      <c r="G13" s="47" t="inlineStr">
        <is>
          <t>Space Coast</t>
        </is>
      </c>
    </row>
    <row r="14" ht="16" customHeight="1">
      <c r="A14" s="47" t="inlineStr">
        <is>
          <t>POLK</t>
        </is>
      </c>
      <c r="B14" s="48" t="n">
        <v>365</v>
      </c>
      <c r="C14" s="48" t="inlineStr">
        <is>
          <t>$549</t>
        </is>
      </c>
      <c r="D14" s="48" t="n">
        <v>304</v>
      </c>
      <c r="E14" s="48" t="inlineStr">
        <is>
          <t>$743</t>
        </is>
      </c>
      <c r="F14" s="48" t="inlineStr">
        <is>
          <t>+35.3%</t>
        </is>
      </c>
      <c r="G14" s="47" t="inlineStr">
        <is>
          <t>Central FL</t>
        </is>
      </c>
    </row>
    <row r="15" ht="16" customHeight="1">
      <c r="A15" s="39" t="inlineStr">
        <is>
          <t>INDIAN RIVER</t>
        </is>
      </c>
      <c r="B15" s="34" t="n">
        <v>232</v>
      </c>
      <c r="C15" s="34" t="inlineStr">
        <is>
          <t>$476</t>
        </is>
      </c>
      <c r="D15" s="34" t="n">
        <v>285</v>
      </c>
      <c r="E15" s="34" t="inlineStr">
        <is>
          <t>$596</t>
        </is>
      </c>
      <c r="F15" s="34" t="inlineStr">
        <is>
          <t>+25.1%</t>
        </is>
      </c>
      <c r="G15" s="39" t="inlineStr">
        <is>
          <t>Treasure Coast</t>
        </is>
      </c>
    </row>
    <row r="16" ht="16" customHeight="1">
      <c r="A16" s="39" t="inlineStr">
        <is>
          <t>MARTIN</t>
        </is>
      </c>
      <c r="B16" s="34" t="n">
        <v>308</v>
      </c>
      <c r="C16" s="34" t="inlineStr">
        <is>
          <t>$472</t>
        </is>
      </c>
      <c r="D16" s="34" t="n">
        <v>284</v>
      </c>
      <c r="E16" s="34" t="inlineStr">
        <is>
          <t>$632</t>
        </is>
      </c>
      <c r="F16" s="34" t="inlineStr">
        <is>
          <t>+33.7%</t>
        </is>
      </c>
      <c r="G16" s="39" t="inlineStr">
        <is>
          <t>Treasure Coast</t>
        </is>
      </c>
    </row>
    <row r="17" ht="16" customHeight="1">
      <c r="A17" s="40" t="inlineStr">
        <is>
          <t>COLLIER</t>
        </is>
      </c>
      <c r="B17" s="31" t="n">
        <v>159</v>
      </c>
      <c r="C17" s="31" t="inlineStr">
        <is>
          <t>$521</t>
        </is>
      </c>
      <c r="D17" s="31" t="n">
        <v>225</v>
      </c>
      <c r="E17" s="31" t="inlineStr">
        <is>
          <t>$644</t>
        </is>
      </c>
      <c r="F17" s="31" t="inlineStr">
        <is>
          <t>+23.5%</t>
        </is>
      </c>
      <c r="G17" s="40" t="inlineStr">
        <is>
          <t>SW FL (Naples)</t>
        </is>
      </c>
    </row>
    <row r="18" ht="16" customHeight="1">
      <c r="A18" s="47" t="inlineStr">
        <is>
          <t>ORANGE</t>
        </is>
      </c>
      <c r="B18" s="48" t="inlineStr">
        <is>
          <t>—</t>
        </is>
      </c>
      <c r="C18" s="48" t="inlineStr">
        <is>
          <t>—</t>
        </is>
      </c>
      <c r="D18" s="48" t="n">
        <v>213</v>
      </c>
      <c r="E18" s="48" t="inlineStr">
        <is>
          <t>$608</t>
        </is>
      </c>
      <c r="F18" s="48" t="inlineStr">
        <is>
          <t>New</t>
        </is>
      </c>
      <c r="G18" s="47" t="inlineStr">
        <is>
          <t>Central FL</t>
        </is>
      </c>
    </row>
    <row r="19" ht="16" customHeight="1">
      <c r="A19" s="47" t="inlineStr">
        <is>
          <t>HERNANDO</t>
        </is>
      </c>
      <c r="B19" s="48" t="n">
        <v>328</v>
      </c>
      <c r="C19" s="48" t="inlineStr">
        <is>
          <t>$449</t>
        </is>
      </c>
      <c r="D19" s="48" t="n">
        <v>199</v>
      </c>
      <c r="E19" s="48" t="inlineStr">
        <is>
          <t>$540</t>
        </is>
      </c>
      <c r="F19" s="48" t="inlineStr">
        <is>
          <t>+20.2%</t>
        </is>
      </c>
      <c r="G19" s="47" t="inlineStr">
        <is>
          <t>Central FL</t>
        </is>
      </c>
    </row>
    <row r="20" ht="16" customHeight="1">
      <c r="A20" s="40" t="inlineStr">
        <is>
          <t>DUVAL</t>
        </is>
      </c>
      <c r="B20" s="31" t="n">
        <v>249</v>
      </c>
      <c r="C20" s="31" t="inlineStr">
        <is>
          <t>$474</t>
        </is>
      </c>
      <c r="D20" s="31" t="n">
        <v>175</v>
      </c>
      <c r="E20" s="31" t="inlineStr">
        <is>
          <t>$655</t>
        </is>
      </c>
      <c r="F20" s="31" t="inlineStr">
        <is>
          <t>+38.1%</t>
        </is>
      </c>
      <c r="G20" s="40" t="inlineStr">
        <is>
          <t>North FL</t>
        </is>
      </c>
    </row>
    <row r="21" ht="16" customHeight="1">
      <c r="A21" s="39" t="inlineStr">
        <is>
          <t>ST LUCIE (dup)</t>
        </is>
      </c>
      <c r="B21" s="34" t="inlineStr">
        <is>
          <t>—</t>
        </is>
      </c>
      <c r="C21" s="34" t="inlineStr">
        <is>
          <t>—</t>
        </is>
      </c>
      <c r="D21" s="34" t="n">
        <v>114</v>
      </c>
      <c r="E21" s="34" t="inlineStr">
        <is>
          <t>$703</t>
        </is>
      </c>
      <c r="F21" s="34" t="inlineStr">
        <is>
          <t>New</t>
        </is>
      </c>
      <c r="G21" s="39" t="inlineStr">
        <is>
          <t>Treasure Coast</t>
        </is>
      </c>
    </row>
    <row r="22" ht="16" customHeight="1">
      <c r="A22" s="40" t="inlineStr">
        <is>
          <t>VOLUSIA</t>
        </is>
      </c>
      <c r="B22" s="31" t="n">
        <v>217</v>
      </c>
      <c r="C22" s="31" t="inlineStr">
        <is>
          <t>$451</t>
        </is>
      </c>
      <c r="D22" s="31" t="n">
        <v>92</v>
      </c>
      <c r="E22" s="31" t="inlineStr">
        <is>
          <t>$735</t>
        </is>
      </c>
      <c r="F22" s="31" t="inlineStr">
        <is>
          <t>+62.8%</t>
        </is>
      </c>
      <c r="G22" s="40" t="inlineStr">
        <is>
          <t>North FL</t>
        </is>
      </c>
    </row>
    <row r="23" ht="16" customHeight="1">
      <c r="A23" s="40" t="inlineStr">
        <is>
          <t>CLAY</t>
        </is>
      </c>
      <c r="B23" s="31" t="n">
        <v>80</v>
      </c>
      <c r="C23" s="31" t="inlineStr">
        <is>
          <t>$610</t>
        </is>
      </c>
      <c r="D23" s="31" t="n">
        <v>47</v>
      </c>
      <c r="E23" s="31" t="inlineStr">
        <is>
          <t>$779</t>
        </is>
      </c>
      <c r="F23" s="31" t="inlineStr">
        <is>
          <t>+27.7%</t>
        </is>
      </c>
      <c r="G23" s="40" t="inlineStr">
        <is>
          <t>North FL</t>
        </is>
      </c>
    </row>
    <row r="24" ht="16" customHeight="1">
      <c r="A24" s="47" t="inlineStr">
        <is>
          <t>LAKE</t>
        </is>
      </c>
      <c r="B24" s="48" t="n">
        <v>104</v>
      </c>
      <c r="C24" s="48" t="inlineStr">
        <is>
          <t>$546</t>
        </is>
      </c>
      <c r="D24" s="48" t="n">
        <v>71</v>
      </c>
      <c r="E24" s="48" t="inlineStr">
        <is>
          <t>$740</t>
        </is>
      </c>
      <c r="F24" s="48" t="inlineStr">
        <is>
          <t>+35.6%</t>
        </is>
      </c>
      <c r="G24" s="47" t="inlineStr">
        <is>
          <t>Central FL</t>
        </is>
      </c>
    </row>
    <row r="25" ht="16" customHeight="1">
      <c r="A25" s="47" t="inlineStr">
        <is>
          <t>OSCEOLA</t>
        </is>
      </c>
      <c r="B25" s="48" t="n">
        <v>114</v>
      </c>
      <c r="C25" s="48" t="inlineStr">
        <is>
          <t>$497</t>
        </is>
      </c>
      <c r="D25" s="48" t="n">
        <v>71</v>
      </c>
      <c r="E25" s="48" t="inlineStr">
        <is>
          <t>$686</t>
        </is>
      </c>
      <c r="F25" s="48" t="inlineStr">
        <is>
          <t>+38.2%</t>
        </is>
      </c>
      <c r="G25" s="47" t="inlineStr">
        <is>
          <t>Central FL</t>
        </is>
      </c>
    </row>
    <row r="26" ht="16" customHeight="1">
      <c r="A26" s="47" t="inlineStr">
        <is>
          <t>SEMINOLE</t>
        </is>
      </c>
      <c r="B26" s="48" t="n">
        <v>102</v>
      </c>
      <c r="C26" s="48" t="inlineStr">
        <is>
          <t>$470</t>
        </is>
      </c>
      <c r="D26" s="48" t="n">
        <v>63</v>
      </c>
      <c r="E26" s="48" t="inlineStr">
        <is>
          <t>$479</t>
        </is>
      </c>
      <c r="F26" s="48" t="inlineStr">
        <is>
          <t>+2.1%</t>
        </is>
      </c>
      <c r="G26" s="47" t="inlineStr">
        <is>
          <t>Central FL</t>
        </is>
      </c>
    </row>
    <row r="27" ht="16" customHeight="1">
      <c r="A27" s="27" t="inlineStr">
        <is>
          <t>MARION</t>
        </is>
      </c>
      <c r="B27" s="28" t="n">
        <v>81</v>
      </c>
      <c r="C27" s="28" t="inlineStr">
        <is>
          <t>$723</t>
        </is>
      </c>
      <c r="D27" s="28" t="n">
        <v>77</v>
      </c>
      <c r="E27" s="28" t="inlineStr">
        <is>
          <t>$1,053</t>
        </is>
      </c>
      <c r="F27" s="28" t="inlineStr">
        <is>
          <t>+45.5%</t>
        </is>
      </c>
      <c r="G27" s="38" t="inlineStr">
        <is>
          <t>Remote/Rural</t>
        </is>
      </c>
    </row>
    <row r="28" ht="16" customHeight="1">
      <c r="A28" s="27" t="inlineStr">
        <is>
          <t>CITRUS</t>
        </is>
      </c>
      <c r="B28" s="28" t="n">
        <v>43</v>
      </c>
      <c r="C28" s="28" t="inlineStr">
        <is>
          <t>$826</t>
        </is>
      </c>
      <c r="D28" s="28" t="n">
        <v>37</v>
      </c>
      <c r="E28" s="28" t="inlineStr">
        <is>
          <t>$955</t>
        </is>
      </c>
      <c r="F28" s="28" t="inlineStr">
        <is>
          <t>+15.6%</t>
        </is>
      </c>
      <c r="G28" s="38" t="inlineStr">
        <is>
          <t>Remote/Rural</t>
        </is>
      </c>
    </row>
    <row r="29" ht="16" customHeight="1">
      <c r="A29" s="27" t="inlineStr">
        <is>
          <t>HIGHLANDS</t>
        </is>
      </c>
      <c r="B29" s="28" t="n">
        <v>48</v>
      </c>
      <c r="C29" s="28" t="inlineStr">
        <is>
          <t>$1,105</t>
        </is>
      </c>
      <c r="D29" s="28" t="n">
        <v>35</v>
      </c>
      <c r="E29" s="28" t="inlineStr">
        <is>
          <t>$1,337</t>
        </is>
      </c>
      <c r="F29" s="28" t="inlineStr">
        <is>
          <t>+21.0%</t>
        </is>
      </c>
      <c r="G29" s="38" t="inlineStr">
        <is>
          <t>Remote/Rural</t>
        </is>
      </c>
    </row>
    <row r="30" ht="16" customHeight="1">
      <c r="A30" s="27" t="inlineStr">
        <is>
          <t>OKEECHOBEE</t>
        </is>
      </c>
      <c r="B30" s="28" t="n">
        <v>28</v>
      </c>
      <c r="C30" s="28" t="inlineStr">
        <is>
          <t>$1,345</t>
        </is>
      </c>
      <c r="D30" s="28" t="n">
        <v>20</v>
      </c>
      <c r="E30" s="28" t="inlineStr">
        <is>
          <t>$1,798</t>
        </is>
      </c>
      <c r="F30" s="28" t="inlineStr">
        <is>
          <t>+33.7%</t>
        </is>
      </c>
      <c r="G30" s="38" t="inlineStr">
        <is>
          <t>Remote/Rural</t>
        </is>
      </c>
    </row>
    <row r="31" ht="16" customHeight="1">
      <c r="A31" s="49" t="inlineStr">
        <is>
          <t>SANTA ROSA</t>
        </is>
      </c>
      <c r="B31" s="50" t="n">
        <v>12</v>
      </c>
      <c r="C31" s="50" t="inlineStr">
        <is>
          <t>$2,467</t>
        </is>
      </c>
      <c r="D31" s="50" t="inlineStr">
        <is>
          <t>—</t>
        </is>
      </c>
      <c r="E31" s="50" t="inlineStr">
        <is>
          <t>—</t>
        </is>
      </c>
      <c r="F31" s="50" t="inlineStr">
        <is>
          <t>Gone</t>
        </is>
      </c>
      <c r="G31" s="51" t="inlineStr">
        <is>
          <t>Panhandle</t>
        </is>
      </c>
    </row>
    <row r="32" ht="16" customHeight="1">
      <c r="A32" s="49" t="inlineStr">
        <is>
          <t>ESCAMBIA</t>
        </is>
      </c>
      <c r="B32" s="50" t="n">
        <v>28</v>
      </c>
      <c r="C32" s="50" t="inlineStr">
        <is>
          <t>$2,210</t>
        </is>
      </c>
      <c r="D32" s="50" t="inlineStr">
        <is>
          <t>—</t>
        </is>
      </c>
      <c r="E32" s="50" t="inlineStr">
        <is>
          <t>—</t>
        </is>
      </c>
      <c r="F32" s="50" t="inlineStr">
        <is>
          <t>Gone</t>
        </is>
      </c>
      <c r="G32" s="51" t="inlineStr">
        <is>
          <t>Panhandle</t>
        </is>
      </c>
    </row>
    <row r="33" ht="16" customHeight="1">
      <c r="A33" s="49" t="inlineStr">
        <is>
          <t>BAY</t>
        </is>
      </c>
      <c r="B33" s="50" t="n">
        <v>14</v>
      </c>
      <c r="C33" s="50" t="inlineStr">
        <is>
          <t>$2,000</t>
        </is>
      </c>
      <c r="D33" s="50" t="inlineStr">
        <is>
          <t>—</t>
        </is>
      </c>
      <c r="E33" s="50" t="inlineStr">
        <is>
          <t>—</t>
        </is>
      </c>
      <c r="F33" s="50" t="inlineStr">
        <is>
          <t>Gone</t>
        </is>
      </c>
      <c r="G33" s="51" t="inlineStr">
        <is>
          <t>Panhandle</t>
        </is>
      </c>
    </row>
    <row r="34" ht="16" customHeight="1">
      <c r="A34" s="49" t="inlineStr">
        <is>
          <t>LEON</t>
        </is>
      </c>
      <c r="B34" s="50" t="n">
        <v>10</v>
      </c>
      <c r="C34" s="50" t="inlineStr">
        <is>
          <t>$1,720</t>
        </is>
      </c>
      <c r="D34" s="50" t="inlineStr">
        <is>
          <t>—</t>
        </is>
      </c>
      <c r="E34" s="50" t="inlineStr">
        <is>
          <t>—</t>
        </is>
      </c>
      <c r="F34" s="50" t="inlineStr">
        <is>
          <t>Gone</t>
        </is>
      </c>
      <c r="G34" s="51" t="inlineStr">
        <is>
          <t>Panhandle</t>
        </is>
      </c>
    </row>
    <row r="35" ht="16" customHeight="1">
      <c r="A35" s="52" t="inlineStr">
        <is>
          <t>ALACHUA</t>
        </is>
      </c>
      <c r="B35" s="50" t="n">
        <v>21</v>
      </c>
      <c r="C35" s="50" t="inlineStr">
        <is>
          <t>$1,641</t>
        </is>
      </c>
      <c r="D35" s="50" t="inlineStr">
        <is>
          <t>—</t>
        </is>
      </c>
      <c r="E35" s="50" t="inlineStr">
        <is>
          <t>—</t>
        </is>
      </c>
      <c r="F35" s="50" t="inlineStr">
        <is>
          <t>Gone</t>
        </is>
      </c>
      <c r="G35" s="52" t="inlineStr">
        <is>
          <t>Panhandle/North</t>
        </is>
      </c>
    </row>
    <row r="36" ht="16" customHeight="1">
      <c r="A36" s="27" t="inlineStr">
        <is>
          <t>DESOTO</t>
        </is>
      </c>
      <c r="B36" s="28" t="n">
        <v>21</v>
      </c>
      <c r="C36" s="28" t="inlineStr">
        <is>
          <t>$1,335</t>
        </is>
      </c>
      <c r="D36" s="28" t="n">
        <v>47</v>
      </c>
      <c r="E36" s="28" t="inlineStr">
        <is>
          <t>$1,719</t>
        </is>
      </c>
      <c r="F36" s="28" t="inlineStr">
        <is>
          <t>+28.7%</t>
        </is>
      </c>
      <c r="G36" s="38" t="inlineStr">
        <is>
          <t>Remote/Rural</t>
        </is>
      </c>
    </row>
    <row r="37" ht="16" customHeight="1">
      <c r="A37" s="27" t="inlineStr">
        <is>
          <t>HENDRY</t>
        </is>
      </c>
      <c r="B37" s="28" t="n">
        <v>38</v>
      </c>
      <c r="C37" s="28" t="inlineStr">
        <is>
          <t>$910</t>
        </is>
      </c>
      <c r="D37" s="28" t="inlineStr">
        <is>
          <t>—</t>
        </is>
      </c>
      <c r="E37" s="28" t="inlineStr">
        <is>
          <t>—</t>
        </is>
      </c>
      <c r="F37" s="28" t="inlineStr">
        <is>
          <t>Gone</t>
        </is>
      </c>
      <c r="G37" s="38" t="inlineStr">
        <is>
          <t>Remote/Rural</t>
        </is>
      </c>
    </row>
    <row r="38" ht="16" customHeight="1">
      <c r="A38" s="40" t="inlineStr">
        <is>
          <t>NASSAU</t>
        </is>
      </c>
      <c r="B38" s="31" t="n">
        <v>44</v>
      </c>
      <c r="C38" s="31" t="inlineStr">
        <is>
          <t>$710</t>
        </is>
      </c>
      <c r="D38" s="31" t="inlineStr">
        <is>
          <t>—</t>
        </is>
      </c>
      <c r="E38" s="31" t="inlineStr">
        <is>
          <t>—</t>
        </is>
      </c>
      <c r="F38" s="31" t="inlineStr">
        <is>
          <t>Gone</t>
        </is>
      </c>
      <c r="G38" s="40" t="inlineStr">
        <is>
          <t>North FL</t>
        </is>
      </c>
    </row>
    <row r="39" ht="16" customHeight="1">
      <c r="A39" s="27" t="inlineStr">
        <is>
          <t>PUTNAM</t>
        </is>
      </c>
      <c r="B39" s="28" t="n">
        <v>18</v>
      </c>
      <c r="C39" s="28" t="inlineStr">
        <is>
          <t>$1,199</t>
        </is>
      </c>
      <c r="D39" s="28" t="inlineStr">
        <is>
          <t>—</t>
        </is>
      </c>
      <c r="E39" s="28" t="inlineStr">
        <is>
          <t>—</t>
        </is>
      </c>
      <c r="F39" s="28" t="inlineStr">
        <is>
          <t>Gone</t>
        </is>
      </c>
      <c r="G39" s="38" t="inlineStr">
        <is>
          <t>Remote/Rural</t>
        </is>
      </c>
    </row>
    <row r="40" ht="16" customHeight="1">
      <c r="A40" s="27" t="inlineStr">
        <is>
          <t>SUMTER</t>
        </is>
      </c>
      <c r="B40" s="28" t="n">
        <v>10</v>
      </c>
      <c r="C40" s="28" t="inlineStr">
        <is>
          <t>$1,114</t>
        </is>
      </c>
      <c r="D40" s="28" t="inlineStr">
        <is>
          <t>—</t>
        </is>
      </c>
      <c r="E40" s="28" t="inlineStr">
        <is>
          <t>—</t>
        </is>
      </c>
      <c r="F40" s="28" t="inlineStr">
        <is>
          <t>Gone</t>
        </is>
      </c>
      <c r="G40" s="38" t="inlineStr">
        <is>
          <t>Remote/Rural</t>
        </is>
      </c>
    </row>
    <row r="41" ht="16" customHeight="1">
      <c r="A41" s="41" t="inlineStr">
        <is>
          <t>MONROE (Keys)</t>
        </is>
      </c>
      <c r="B41" s="22" t="inlineStr">
        <is>
          <t>—</t>
        </is>
      </c>
      <c r="C41" s="22" t="inlineStr">
        <is>
          <t>—</t>
        </is>
      </c>
      <c r="D41" s="22" t="n">
        <v>35</v>
      </c>
      <c r="E41" s="22" t="inlineStr">
        <is>
          <t>$1,735</t>
        </is>
      </c>
      <c r="F41" s="22" t="inlineStr">
        <is>
          <t>New</t>
        </is>
      </c>
      <c r="G41" s="41" t="inlineStr">
        <is>
          <t>KEYS - Always flag</t>
        </is>
      </c>
    </row>
    <row r="44" ht="24" customHeight="1">
      <c r="A44" s="53" t="inlineStr">
        <is>
          <t>PANHANDLE COUNTIES — HIGH PRICE INSIGHT</t>
        </is>
      </c>
    </row>
    <row r="45" ht="40" customHeight="1">
      <c r="A45" s="54" t="inlineStr">
        <is>
          <t>Panhandle counties appeared in Yr1 but NOT Yr2. These are the most expensive markets NexGen serves — avg $1,720-$2,466. Crew must travel far. If NexGen stopped taking Panhandle jobs, this is significant lost revenue. Investigate with Robert/Bobby.</t>
        </is>
      </c>
    </row>
    <row r="46">
      <c r="A46" s="55" t="inlineStr">
        <is>
          <t>County</t>
        </is>
      </c>
      <c r="B46" s="55" t="inlineStr">
        <is>
          <t>Yr1 Orders</t>
        </is>
      </c>
      <c r="C46" s="55" t="inlineStr">
        <is>
          <t>Yr1 Avg</t>
        </is>
      </c>
      <c r="D46" s="55" t="inlineStr"/>
      <c r="E46" s="55" t="inlineStr">
        <is>
          <t>Notes</t>
        </is>
      </c>
      <c r="F46" s="55" t="inlineStr"/>
      <c r="G46" s="55" t="inlineStr"/>
    </row>
    <row r="47" ht="18" customHeight="1">
      <c r="A47" s="49" t="inlineStr">
        <is>
          <t>SANTA ROSA</t>
        </is>
      </c>
      <c r="B47" s="50" t="n">
        <v>12</v>
      </c>
      <c r="C47" s="56" t="inlineStr">
        <is>
          <t>$2,467</t>
        </is>
      </c>
      <c r="D47" s="52" t="inlineStr"/>
      <c r="E47" s="52" t="inlineStr">
        <is>
          <t>Pensacola area — extreme distance premium</t>
        </is>
      </c>
    </row>
    <row r="48" ht="18" customHeight="1">
      <c r="A48" s="49" t="inlineStr">
        <is>
          <t>ESCAMBIA</t>
        </is>
      </c>
      <c r="B48" s="50" t="n">
        <v>28</v>
      </c>
      <c r="C48" s="56" t="inlineStr">
        <is>
          <t>$2,210</t>
        </is>
      </c>
      <c r="D48" s="52" t="inlineStr"/>
      <c r="E48" s="52" t="inlineStr">
        <is>
          <t>Pensacola — far NW FL</t>
        </is>
      </c>
    </row>
    <row r="49" ht="18" customHeight="1">
      <c r="A49" s="49" t="inlineStr">
        <is>
          <t>BAY</t>
        </is>
      </c>
      <c r="B49" s="50" t="n">
        <v>14</v>
      </c>
      <c r="C49" s="56" t="inlineStr">
        <is>
          <t>$2,000</t>
        </is>
      </c>
      <c r="D49" s="52" t="inlineStr"/>
      <c r="E49" s="52" t="inlineStr">
        <is>
          <t>Panama City</t>
        </is>
      </c>
    </row>
    <row r="50" ht="18" customHeight="1">
      <c r="A50" s="49" t="inlineStr">
        <is>
          <t>LEON</t>
        </is>
      </c>
      <c r="B50" s="50" t="n">
        <v>10</v>
      </c>
      <c r="C50" s="56" t="inlineStr">
        <is>
          <t>$1,720</t>
        </is>
      </c>
      <c r="D50" s="52" t="inlineStr"/>
      <c r="E50" s="52" t="inlineStr">
        <is>
          <t>Tallahassee — state capital</t>
        </is>
      </c>
    </row>
    <row r="51" ht="18" customHeight="1">
      <c r="A51" s="49" t="inlineStr">
        <is>
          <t>ALACHUA</t>
        </is>
      </c>
      <c r="B51" s="50" t="n">
        <v>21</v>
      </c>
      <c r="C51" s="56" t="inlineStr">
        <is>
          <t>$1,641</t>
        </is>
      </c>
      <c r="D51" s="52" t="inlineStr"/>
      <c r="E51" s="52" t="inlineStr">
        <is>
          <t>Gainesville — university area</t>
        </is>
      </c>
    </row>
    <row r="52" ht="18" customHeight="1">
      <c r="A52" s="49" t="inlineStr">
        <is>
          <t>DESOTO</t>
        </is>
      </c>
      <c r="B52" s="50" t="n">
        <v>47</v>
      </c>
      <c r="C52" s="56" t="inlineStr">
        <is>
          <t>$1,719</t>
        </is>
      </c>
      <c r="D52" s="52" t="inlineStr"/>
      <c r="E52" s="52" t="inlineStr">
        <is>
          <t>Arcadia — rural SW FL</t>
        </is>
      </c>
    </row>
    <row r="53" ht="18" customHeight="1">
      <c r="A53" s="49" t="inlineStr">
        <is>
          <t>HENDRY</t>
        </is>
      </c>
      <c r="B53" s="50" t="n">
        <v>38</v>
      </c>
      <c r="C53" s="56" t="inlineStr">
        <is>
          <t>$910</t>
        </is>
      </c>
      <c r="D53" s="52" t="inlineStr"/>
      <c r="E53" s="52" t="inlineStr">
        <is>
          <t>La Belle — rural SW FL</t>
        </is>
      </c>
    </row>
    <row r="54" ht="18" customHeight="1">
      <c r="A54" s="49" t="inlineStr">
        <is>
          <t>NASSAU</t>
        </is>
      </c>
      <c r="B54" s="50" t="n">
        <v>44</v>
      </c>
      <c r="C54" s="56" t="inlineStr">
        <is>
          <t>$710</t>
        </is>
      </c>
      <c r="D54" s="52" t="inlineStr"/>
      <c r="E54" s="52" t="inlineStr">
        <is>
          <t>Fernandina Beach — NE FL border</t>
        </is>
      </c>
    </row>
    <row r="55" ht="18" customHeight="1">
      <c r="A55" s="49" t="inlineStr">
        <is>
          <t>PUTNAM</t>
        </is>
      </c>
      <c r="B55" s="50" t="n">
        <v>18</v>
      </c>
      <c r="C55" s="56" t="inlineStr">
        <is>
          <t>$1,199</t>
        </is>
      </c>
      <c r="D55" s="52" t="inlineStr"/>
      <c r="E55" s="52" t="inlineStr">
        <is>
          <t>Palatka — rural NE FL</t>
        </is>
      </c>
    </row>
    <row r="56" ht="18" customHeight="1">
      <c r="A56" s="49" t="inlineStr">
        <is>
          <t>SUMTER</t>
        </is>
      </c>
      <c r="B56" s="50" t="n">
        <v>10</v>
      </c>
      <c r="C56" s="56" t="inlineStr">
        <is>
          <t>$1,114</t>
        </is>
      </c>
      <c r="D56" s="52" t="inlineStr"/>
      <c r="E56" s="52" t="inlineStr">
        <is>
          <t>The Villages area</t>
        </is>
      </c>
    </row>
  </sheetData>
  <mergeCells count="13">
    <mergeCell ref="E55:G55"/>
    <mergeCell ref="A44:G44"/>
    <mergeCell ref="A1:G1"/>
    <mergeCell ref="E49:G49"/>
    <mergeCell ref="E52:G52"/>
    <mergeCell ref="E53:G53"/>
    <mergeCell ref="E47:G47"/>
    <mergeCell ref="E48:G48"/>
    <mergeCell ref="E50:G50"/>
    <mergeCell ref="E56:G56"/>
    <mergeCell ref="E51:G51"/>
    <mergeCell ref="A45:G45"/>
    <mergeCell ref="E54:G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46" customWidth="1" min="4" max="4"/>
  </cols>
  <sheetData>
    <row r="1" ht="24" customHeight="1">
      <c r="A1" s="19" t="inlineStr">
        <is>
          <t>New Service Aliases Found in Prior Year (Add to Classifier)</t>
        </is>
      </c>
    </row>
    <row r="2" ht="20" customHeight="1">
      <c r="A2" s="57" t="inlineStr">
        <is>
          <t>These 32 aliases appeared in May 2024-May 2025 production data. Add to _SERVICE_TYPE_ALIASES in agent_03_classifier.py.</t>
        </is>
      </c>
    </row>
    <row r="3" ht="18" customHeight="1">
      <c r="A3" s="20" t="inlineStr">
        <is>
          <t>CRM / FTF Label (Prior Year)</t>
        </is>
      </c>
      <c r="B3" s="20" t="inlineStr">
        <is>
          <t>Orders</t>
        </is>
      </c>
      <c r="C3" s="20" t="inlineStr">
        <is>
          <t>Avg Price</t>
        </is>
      </c>
      <c r="D3" s="20" t="inlineStr">
        <is>
          <t>Map To (Canonical)</t>
        </is>
      </c>
    </row>
    <row r="4" ht="16" customHeight="1">
      <c r="A4" s="37" t="inlineStr">
        <is>
          <t>Survey Refresh</t>
        </is>
      </c>
      <c r="B4" s="25" t="n">
        <v>34</v>
      </c>
      <c r="C4" s="25" t="inlineStr">
        <is>
          <t>$335</t>
        </is>
      </c>
      <c r="D4" s="24" t="inlineStr">
        <is>
          <t>Update Survey (recertification)</t>
        </is>
      </c>
    </row>
    <row r="5" ht="16" customHeight="1">
      <c r="A5" s="41" t="inlineStr">
        <is>
          <t>Topo / Update</t>
        </is>
      </c>
      <c r="B5" s="22" t="n">
        <v>21</v>
      </c>
      <c r="C5" s="22" t="inlineStr">
        <is>
          <t>$589</t>
        </is>
      </c>
      <c r="D5" s="21" t="inlineStr">
        <is>
          <t>Topography Survey or Update Survey (context)</t>
        </is>
      </c>
    </row>
    <row r="6" ht="16" customHeight="1">
      <c r="A6" s="37" t="inlineStr">
        <is>
          <t>Topo/Re-Survey</t>
        </is>
      </c>
      <c r="B6" s="25" t="n">
        <v>4</v>
      </c>
      <c r="C6" s="25" t="inlineStr">
        <is>
          <t>$406</t>
        </is>
      </c>
      <c r="D6" s="24" t="inlineStr">
        <is>
          <t>Topography Survey or Update Survey</t>
        </is>
      </c>
    </row>
    <row r="7" ht="16" customHeight="1">
      <c r="A7" s="41" t="inlineStr">
        <is>
          <t>Topographic Survey Refresh</t>
        </is>
      </c>
      <c r="B7" s="22" t="n">
        <v>4</v>
      </c>
      <c r="C7" s="22" t="inlineStr">
        <is>
          <t>$506</t>
        </is>
      </c>
      <c r="D7" s="21" t="inlineStr">
        <is>
          <t>Update Survey (topo recert)</t>
        </is>
      </c>
    </row>
    <row r="8" ht="16" customHeight="1">
      <c r="A8" s="37" t="inlineStr">
        <is>
          <t>Topographic Add-on</t>
        </is>
      </c>
      <c r="B8" s="25" t="n">
        <v>4</v>
      </c>
      <c r="C8" s="25" t="inlineStr">
        <is>
          <t>$481</t>
        </is>
      </c>
      <c r="D8" s="24" t="inlineStr">
        <is>
          <t>Topography Survey (add-on)</t>
        </is>
      </c>
    </row>
    <row r="9" ht="16" customHeight="1">
      <c r="A9" s="41" t="inlineStr">
        <is>
          <t>As-built Survey</t>
        </is>
      </c>
      <c r="B9" s="22" t="n">
        <v>5</v>
      </c>
      <c r="C9" s="22" t="inlineStr">
        <is>
          <t>$340</t>
        </is>
      </c>
      <c r="D9" s="21" t="inlineStr">
        <is>
          <t>Final Survey</t>
        </is>
      </c>
    </row>
    <row r="10" ht="16" customHeight="1">
      <c r="A10" s="37" t="inlineStr">
        <is>
          <t>Construction survey</t>
        </is>
      </c>
      <c r="B10" s="25" t="n">
        <v>17</v>
      </c>
      <c r="C10" s="25" t="inlineStr">
        <is>
          <t>$449</t>
        </is>
      </c>
      <c r="D10" s="24" t="inlineStr">
        <is>
          <t>Topography Survey</t>
        </is>
      </c>
    </row>
    <row r="11" ht="16" customHeight="1">
      <c r="A11" s="41" t="inlineStr">
        <is>
          <t>CAD Release</t>
        </is>
      </c>
      <c r="B11" s="22" t="n">
        <v>8</v>
      </c>
      <c r="C11" s="22" t="inlineStr">
        <is>
          <t>$294</t>
        </is>
      </c>
      <c r="D11" s="21" t="inlineStr">
        <is>
          <t>Survey Re-draw</t>
        </is>
      </c>
    </row>
    <row r="12" ht="16" customHeight="1">
      <c r="A12" s="37" t="inlineStr">
        <is>
          <t>Survey Update / CAD Release</t>
        </is>
      </c>
      <c r="B12" s="25" t="n">
        <v>3</v>
      </c>
      <c r="C12" s="25" t="inlineStr">
        <is>
          <t>$283</t>
        </is>
      </c>
      <c r="D12" s="24" t="inlineStr">
        <is>
          <t>Update Survey + Survey Re-draw</t>
        </is>
      </c>
    </row>
    <row r="13" ht="16" customHeight="1">
      <c r="A13" s="41" t="inlineStr">
        <is>
          <t>Boundary Staking</t>
        </is>
      </c>
      <c r="B13" s="22" t="n">
        <v>4</v>
      </c>
      <c r="C13" s="22" t="inlineStr">
        <is>
          <t>$288</t>
        </is>
      </c>
      <c r="D13" s="21" t="inlineStr">
        <is>
          <t>Building Stake Out</t>
        </is>
      </c>
    </row>
    <row r="14" ht="16" customHeight="1">
      <c r="A14" s="37" t="inlineStr">
        <is>
          <t>Boundary Survey and Stake Corners</t>
        </is>
      </c>
      <c r="B14" s="25" t="n">
        <v>1</v>
      </c>
      <c r="C14" s="25" t="inlineStr">
        <is>
          <t>—</t>
        </is>
      </c>
      <c r="D14" s="24" t="inlineStr">
        <is>
          <t>Boundary Survey + Building Stake Out</t>
        </is>
      </c>
    </row>
    <row r="15" ht="16" customHeight="1">
      <c r="A15" s="41" t="inlineStr">
        <is>
          <t>ALTA Conversion</t>
        </is>
      </c>
      <c r="B15" s="22" t="n">
        <v>3</v>
      </c>
      <c r="C15" s="22" t="inlineStr">
        <is>
          <t>$417</t>
        </is>
      </c>
      <c r="D15" s="21" t="inlineStr">
        <is>
          <t>ALTA Table A Survey</t>
        </is>
      </c>
    </row>
    <row r="16" ht="16" customHeight="1">
      <c r="A16" s="37" t="inlineStr">
        <is>
          <t>Bldg Pinning</t>
        </is>
      </c>
      <c r="B16" s="25" t="n">
        <v>3</v>
      </c>
      <c r="C16" s="25" t="inlineStr">
        <is>
          <t>$417</t>
        </is>
      </c>
      <c r="D16" s="24" t="inlineStr">
        <is>
          <t>Building Stake Out (pins)</t>
        </is>
      </c>
    </row>
    <row r="17" ht="16" customHeight="1">
      <c r="A17" s="41" t="inlineStr">
        <is>
          <t>Shoot Elevations</t>
        </is>
      </c>
      <c r="B17" s="22" t="n">
        <v>3</v>
      </c>
      <c r="C17" s="22" t="inlineStr">
        <is>
          <t>$200</t>
        </is>
      </c>
      <c r="D17" s="21" t="inlineStr">
        <is>
          <t>Elevation Certificate (partial)</t>
        </is>
      </c>
    </row>
    <row r="18" ht="16" customHeight="1">
      <c r="A18" s="37" t="inlineStr">
        <is>
          <t>EC UNDER CONSTRUCTION</t>
        </is>
      </c>
      <c r="B18" s="25" t="n">
        <v>1</v>
      </c>
      <c r="C18" s="25" t="inlineStr">
        <is>
          <t>—</t>
        </is>
      </c>
      <c r="D18" s="24" t="inlineStr">
        <is>
          <t>Elevation Certificate (during construction)</t>
        </is>
      </c>
    </row>
    <row r="19" ht="16" customHeight="1">
      <c r="A19" s="41" t="inlineStr">
        <is>
          <t>Pre-construction Survey</t>
        </is>
      </c>
      <c r="B19" s="22" t="n">
        <v>1</v>
      </c>
      <c r="C19" s="22" t="inlineStr">
        <is>
          <t>—</t>
        </is>
      </c>
      <c r="D19" s="21" t="inlineStr">
        <is>
          <t>Topography Survey / Foundation Tie-In</t>
        </is>
      </c>
    </row>
    <row r="20" ht="16" customHeight="1">
      <c r="A20" s="37" t="inlineStr">
        <is>
          <t>Pre-Construction Elevation Certificate</t>
        </is>
      </c>
      <c r="B20" s="25" t="n">
        <v>1</v>
      </c>
      <c r="C20" s="25" t="inlineStr">
        <is>
          <t>—</t>
        </is>
      </c>
      <c r="D20" s="24" t="inlineStr">
        <is>
          <t>Elevation Certificate</t>
        </is>
      </c>
    </row>
    <row r="21" ht="16" customHeight="1">
      <c r="A21" s="41" t="inlineStr">
        <is>
          <t>Go Back for FFE</t>
        </is>
      </c>
      <c r="B21" s="22" t="n">
        <v>1</v>
      </c>
      <c r="C21" s="22" t="inlineStr">
        <is>
          <t>—</t>
        </is>
      </c>
      <c r="D21" s="21" t="inlineStr">
        <is>
          <t>Elevation Certificate (go-back)</t>
        </is>
      </c>
    </row>
    <row r="22" ht="16" customHeight="1">
      <c r="A22" s="37" t="inlineStr">
        <is>
          <t>Condo Survey (Interior unit)</t>
        </is>
      </c>
      <c r="B22" s="25" t="n">
        <v>2</v>
      </c>
      <c r="C22" s="25" t="inlineStr">
        <is>
          <t>—</t>
        </is>
      </c>
      <c r="D22" s="24" t="inlineStr">
        <is>
          <t>Specific Purpose Survey</t>
        </is>
      </c>
    </row>
    <row r="23" ht="16" customHeight="1">
      <c r="A23" s="41" t="inlineStr">
        <is>
          <t>Update / Recert</t>
        </is>
      </c>
      <c r="B23" s="22" t="n">
        <v>3</v>
      </c>
      <c r="C23" s="22" t="inlineStr">
        <is>
          <t>$283</t>
        </is>
      </c>
      <c r="D23" s="21" t="inlineStr">
        <is>
          <t>Update Survey (recertification)</t>
        </is>
      </c>
    </row>
    <row r="24" ht="16" customHeight="1">
      <c r="A24" s="37" t="inlineStr">
        <is>
          <t>Update &amp; Recertify</t>
        </is>
      </c>
      <c r="B24" s="25" t="n">
        <v>2</v>
      </c>
      <c r="C24" s="25" t="inlineStr">
        <is>
          <t>—</t>
        </is>
      </c>
      <c r="D24" s="24" t="inlineStr">
        <is>
          <t>Update Survey (recertification)</t>
        </is>
      </c>
    </row>
    <row r="25" ht="16" customHeight="1">
      <c r="A25" s="41" t="inlineStr">
        <is>
          <t>Recertification</t>
        </is>
      </c>
      <c r="B25" s="22" t="n">
        <v>1</v>
      </c>
      <c r="C25" s="22" t="inlineStr">
        <is>
          <t>—</t>
        </is>
      </c>
      <c r="D25" s="21" t="inlineStr">
        <is>
          <t>Update Survey (recertification)</t>
        </is>
      </c>
    </row>
    <row r="26" ht="16" customHeight="1">
      <c r="A26" s="37" t="inlineStr">
        <is>
          <t>Re-Certify Survey Only</t>
        </is>
      </c>
      <c r="B26" s="25" t="n">
        <v>1</v>
      </c>
      <c r="C26" s="25" t="inlineStr">
        <is>
          <t>—</t>
        </is>
      </c>
      <c r="D26" s="24" t="inlineStr">
        <is>
          <t>Update Survey</t>
        </is>
      </c>
    </row>
    <row r="27" ht="16" customHeight="1">
      <c r="A27" s="41" t="inlineStr">
        <is>
          <t>Re-Surv</t>
        </is>
      </c>
      <c r="B27" s="22" t="n">
        <v>2</v>
      </c>
      <c r="C27" s="22" t="inlineStr">
        <is>
          <t>—</t>
        </is>
      </c>
      <c r="D27" s="21" t="inlineStr">
        <is>
          <t>Update Survey</t>
        </is>
      </c>
    </row>
    <row r="28" ht="16" customHeight="1">
      <c r="A28" s="37" t="inlineStr">
        <is>
          <t>Update / Esign</t>
        </is>
      </c>
      <c r="B28" s="25" t="n">
        <v>2</v>
      </c>
      <c r="C28" s="25" t="inlineStr">
        <is>
          <t>—</t>
        </is>
      </c>
      <c r="D28" s="24" t="inlineStr">
        <is>
          <t>Update Survey + electronic delivery</t>
        </is>
      </c>
    </row>
    <row r="29" ht="16" customHeight="1">
      <c r="A29" s="41" t="inlineStr">
        <is>
          <t>Topo Per markup</t>
        </is>
      </c>
      <c r="B29" s="22" t="n">
        <v>1</v>
      </c>
      <c r="C29" s="22" t="inlineStr">
        <is>
          <t>—</t>
        </is>
      </c>
      <c r="D29" s="21" t="inlineStr">
        <is>
          <t>Topography Survey (custom scope)</t>
        </is>
      </c>
    </row>
    <row r="30" ht="16" customHeight="1">
      <c r="A30" s="37" t="inlineStr">
        <is>
          <t>Stake corners and lines</t>
        </is>
      </c>
      <c r="B30" s="25" t="n">
        <v>2</v>
      </c>
      <c r="C30" s="25" t="inlineStr">
        <is>
          <t>—</t>
        </is>
      </c>
      <c r="D30" s="24" t="inlineStr">
        <is>
          <t>Building Stake Out</t>
        </is>
      </c>
    </row>
    <row r="31" ht="16" customHeight="1">
      <c r="A31" s="41" t="inlineStr">
        <is>
          <t>Property Line Staking</t>
        </is>
      </c>
      <c r="B31" s="22" t="n">
        <v>1</v>
      </c>
      <c r="C31" s="22" t="inlineStr">
        <is>
          <t>—</t>
        </is>
      </c>
      <c r="D31" s="21" t="inlineStr">
        <is>
          <t>Building Stake Out / Property Flagging</t>
        </is>
      </c>
    </row>
    <row r="32" ht="16" customHeight="1">
      <c r="A32" s="38" t="inlineStr">
        <is>
          <t>Cancel after office prep (10%)</t>
        </is>
      </c>
      <c r="B32" s="28" t="n">
        <v>2</v>
      </c>
      <c r="C32" s="28" t="inlineStr">
        <is>
          <t>—</t>
        </is>
      </c>
      <c r="D32" s="27" t="inlineStr">
        <is>
          <t>CANCELLATION — 10% partial bill</t>
        </is>
      </c>
    </row>
    <row r="33" ht="16" customHeight="1">
      <c r="A33" s="41" t="inlineStr">
        <is>
          <t>Additional Services (Base rate)</t>
        </is>
      </c>
      <c r="B33" s="22" t="n">
        <v>9</v>
      </c>
      <c r="C33" s="22" t="inlineStr">
        <is>
          <t>$633</t>
        </is>
      </c>
      <c r="D33" s="21" t="inlineStr">
        <is>
          <t>Other Services (add-on)</t>
        </is>
      </c>
    </row>
    <row r="34" ht="16" customHeight="1">
      <c r="A34" s="37" t="inlineStr">
        <is>
          <t>Sign As-built</t>
        </is>
      </c>
      <c r="B34" s="25" t="n">
        <v>3</v>
      </c>
      <c r="C34" s="25" t="inlineStr">
        <is>
          <t>$383</t>
        </is>
      </c>
      <c r="D34" s="24" t="inlineStr">
        <is>
          <t>Final Survey (signing)</t>
        </is>
      </c>
    </row>
    <row r="35" ht="16" customHeight="1">
      <c r="A35" s="41" t="inlineStr">
        <is>
          <t>Re-stake</t>
        </is>
      </c>
      <c r="B35" s="22" t="n">
        <v>3</v>
      </c>
      <c r="C35" s="22" t="inlineStr">
        <is>
          <t>$142</t>
        </is>
      </c>
      <c r="D35" s="21" t="inlineStr">
        <is>
          <t>Property Flagging / Building Stake Out (partial)</t>
        </is>
      </c>
    </row>
    <row r="36" ht="16" customHeight="1">
      <c r="A36" s="37" t="inlineStr">
        <is>
          <t>Spot/Formboard Survey</t>
        </is>
      </c>
      <c r="B36" s="25" t="n">
        <v>3</v>
      </c>
      <c r="C36" s="25" t="inlineStr">
        <is>
          <t>$200</t>
        </is>
      </c>
      <c r="D36" s="24" t="inlineStr">
        <is>
          <t>Foundation Tie-In + Form Board</t>
        </is>
      </c>
    </row>
    <row r="39" ht="24" customHeight="1">
      <c r="A39" s="58" t="inlineStr">
        <is>
          <t>SERVICE TYPES THAT DISAPPEARED (Yr1 → Yr2)</t>
        </is>
      </c>
    </row>
    <row r="40">
      <c r="A40" s="59" t="inlineStr">
        <is>
          <t>Service</t>
        </is>
      </c>
      <c r="B40" s="59" t="inlineStr">
        <is>
          <t>Yr1 Orders</t>
        </is>
      </c>
      <c r="C40" s="59" t="inlineStr">
        <is>
          <t>Yr1 Avg</t>
        </is>
      </c>
      <c r="D40" s="59" t="inlineStr">
        <is>
          <t>Action Needed</t>
        </is>
      </c>
    </row>
    <row r="41" ht="18" customHeight="1">
      <c r="A41" s="40" t="inlineStr">
        <is>
          <t>Survey Refresh</t>
        </is>
      </c>
      <c r="B41" s="31" t="n">
        <v>34</v>
      </c>
      <c r="C41" s="31" t="inlineStr">
        <is>
          <t>$335</t>
        </is>
      </c>
      <c r="D41" s="40" t="inlineStr">
        <is>
          <t>Likely renamed — map to Update Survey</t>
        </is>
      </c>
    </row>
    <row r="42" ht="18" customHeight="1">
      <c r="A42" s="40" t="inlineStr">
        <is>
          <t>B-II Title Review</t>
        </is>
      </c>
      <c r="B42" s="31" t="n">
        <v>11</v>
      </c>
      <c r="C42" s="31" t="inlineStr">
        <is>
          <t>$395</t>
        </is>
      </c>
      <c r="D42" s="40" t="inlineStr">
        <is>
          <t>Not billed in Yr2 at all — flag for Robert (I-055 conflict)</t>
        </is>
      </c>
    </row>
    <row r="43" ht="18" customHeight="1">
      <c r="A43" s="40" t="inlineStr">
        <is>
          <t>Topo / Update</t>
        </is>
      </c>
      <c r="B43" s="31" t="n">
        <v>21</v>
      </c>
      <c r="C43" s="31" t="inlineStr">
        <is>
          <t>$589</t>
        </is>
      </c>
      <c r="D43" s="40" t="inlineStr">
        <is>
          <t>Informal combo — may appear again</t>
        </is>
      </c>
    </row>
    <row r="44" ht="18" customHeight="1">
      <c r="A44" s="40" t="inlineStr">
        <is>
          <t>Topo/Re-Survey</t>
        </is>
      </c>
      <c r="B44" s="31" t="n">
        <v>4</v>
      </c>
      <c r="C44" s="31" t="inlineStr">
        <is>
          <t>$406</t>
        </is>
      </c>
      <c r="D44" s="40" t="inlineStr">
        <is>
          <t>Informal combo</t>
        </is>
      </c>
    </row>
    <row r="45" ht="18" customHeight="1">
      <c r="A45" s="40" t="inlineStr">
        <is>
          <t>Form Board Survey</t>
        </is>
      </c>
      <c r="B45" s="31" t="n">
        <v>60</v>
      </c>
      <c r="C45" s="31" t="inlineStr">
        <is>
          <t>$290</t>
        </is>
      </c>
      <c r="D45" s="40" t="inlineStr">
        <is>
          <t>Collapsed from 60 to 6 orders — investigate</t>
        </is>
      </c>
    </row>
    <row r="46" ht="18" customHeight="1">
      <c r="A46" s="40" t="inlineStr">
        <is>
          <t>Property Flagging</t>
        </is>
      </c>
      <c r="B46" s="31" t="n">
        <v>63</v>
      </c>
      <c r="C46" s="31" t="inlineStr">
        <is>
          <t>$303</t>
        </is>
      </c>
      <c r="D46" s="40" t="inlineStr">
        <is>
          <t>Nearly gone — from 63 to 5 orders</t>
        </is>
      </c>
    </row>
    <row r="47" ht="18" customHeight="1">
      <c r="A47" s="40" t="inlineStr">
        <is>
          <t>Building Stake Out</t>
        </is>
      </c>
      <c r="B47" s="31" t="n">
        <v>4</v>
      </c>
      <c r="C47" s="31" t="inlineStr">
        <is>
          <t>$350</t>
        </is>
      </c>
      <c r="D47" s="40" t="inlineStr">
        <is>
          <t>Rare — ALWAYS_FLAG is correct</t>
        </is>
      </c>
    </row>
    <row r="48" ht="18" customHeight="1">
      <c r="A48" s="40" t="inlineStr">
        <is>
          <t>Additional Services (Base rate)</t>
        </is>
      </c>
      <c r="B48" s="31" t="n">
        <v>9</v>
      </c>
      <c r="C48" s="31" t="inlineStr">
        <is>
          <t>$633</t>
        </is>
      </c>
      <c r="D48" s="40" t="inlineStr">
        <is>
          <t>Custom add-on — Other Services?</t>
        </is>
      </c>
    </row>
    <row r="49" ht="18" customHeight="1">
      <c r="A49" s="40" t="inlineStr">
        <is>
          <t>Sign As-built</t>
        </is>
      </c>
      <c r="B49" s="31" t="n">
        <v>3</v>
      </c>
      <c r="C49" s="31" t="inlineStr">
        <is>
          <t>$383</t>
        </is>
      </c>
      <c r="D49" s="40" t="inlineStr">
        <is>
          <t>Final Survey signing add-on</t>
        </is>
      </c>
    </row>
    <row r="50" ht="18" customHeight="1">
      <c r="A50" s="40" t="inlineStr">
        <is>
          <t>Topographic Add-on</t>
        </is>
      </c>
      <c r="B50" s="31" t="n">
        <v>4</v>
      </c>
      <c r="C50" s="31" t="inlineStr">
        <is>
          <t>$481</t>
        </is>
      </c>
      <c r="D50" s="40" t="inlineStr">
        <is>
          <t>Topo add-on to existing survey</t>
        </is>
      </c>
    </row>
  </sheetData>
  <mergeCells count="3">
    <mergeCell ref="A1:D1"/>
    <mergeCell ref="A2:D2"/>
    <mergeCell ref="A39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 ht="24" customHeight="1">
      <c r="A1" s="19" t="inlineStr">
        <is>
          <t>Accounts Receivable Analysis — INVOICED vs COLLECTED vs OUTSTANDING</t>
        </is>
      </c>
    </row>
    <row r="2" ht="40" customHeight="1">
      <c r="A2" s="60" t="inlineStr">
        <is>
          <t>CRITICAL DISTINCTION: 'Invoiced' = what NexGen billed customers. 'Collected' = actual cash received (invoiced minus AR). Ryan's note: viewing invoiced as revenue is incorrect — only paid orders are business revenue.</t>
        </is>
      </c>
    </row>
    <row r="3" ht="22" customHeight="1">
      <c r="A3" s="20" t="inlineStr">
        <is>
          <t>Metric</t>
        </is>
      </c>
      <c r="B3" s="20" t="inlineStr">
        <is>
          <t>May 2024 – May 2025</t>
        </is>
      </c>
      <c r="C3" s="20" t="inlineStr">
        <is>
          <t>May 2025 – May 2026</t>
        </is>
      </c>
      <c r="D3" s="20" t="inlineStr">
        <is>
          <t>YoY Change</t>
        </is>
      </c>
      <c r="E3" s="20" t="inlineStr">
        <is>
          <t>Risk Level</t>
        </is>
      </c>
    </row>
    <row r="4" ht="18" customHeight="1">
      <c r="A4" s="41" t="inlineStr">
        <is>
          <t>INVOICED (billed to customers — NOT cash)</t>
        </is>
      </c>
      <c r="B4" s="41" t="inlineStr">
        <is>
          <t>$12,402,869</t>
        </is>
      </c>
      <c r="C4" s="41" t="inlineStr">
        <is>
          <t>$13,205,323</t>
        </is>
      </c>
      <c r="D4" s="61" t="inlineStr">
        <is>
          <t>+6.5%</t>
        </is>
      </c>
      <c r="E4" s="61" t="inlineStr">
        <is>
          <t>—</t>
        </is>
      </c>
    </row>
    <row r="5" ht="18" customHeight="1">
      <c r="A5" s="62" t="inlineStr">
        <is>
          <t>COLLECTED (actual cash received)</t>
        </is>
      </c>
      <c r="B5" s="63" t="inlineStr">
        <is>
          <t>$7,202,026</t>
        </is>
      </c>
      <c r="C5" s="63" t="inlineStr">
        <is>
          <t>$6,640,237</t>
        </is>
      </c>
      <c r="D5" s="64" t="inlineStr">
        <is>
          <t>-7.8%</t>
        </is>
      </c>
      <c r="E5" s="65" t="inlineStr">
        <is>
          <t>CRITICAL</t>
        </is>
      </c>
    </row>
    <row r="6" ht="18" customHeight="1">
      <c r="A6" s="27" t="inlineStr">
        <is>
          <t>AR Outstanding = Invoiced - Collected</t>
        </is>
      </c>
      <c r="B6" s="38" t="inlineStr">
        <is>
          <t>$5,200,844</t>
        </is>
      </c>
      <c r="C6" s="38" t="inlineStr">
        <is>
          <t>$6,565,086</t>
        </is>
      </c>
      <c r="D6" s="66" t="inlineStr">
        <is>
          <t>+26.3%</t>
        </is>
      </c>
      <c r="E6" s="67" t="inlineStr">
        <is>
          <t>HIGH</t>
        </is>
      </c>
    </row>
    <row r="7" ht="18" customHeight="1">
      <c r="A7" s="41" t="inlineStr">
        <is>
          <t>Total Invoice Records</t>
        </is>
      </c>
      <c r="B7" s="41" t="inlineStr">
        <is>
          <t>24,472</t>
        </is>
      </c>
      <c r="C7" s="41" t="inlineStr">
        <is>
          <t>23,353</t>
        </is>
      </c>
      <c r="D7" s="61" t="inlineStr">
        <is>
          <t>-4.6%</t>
        </is>
      </c>
      <c r="E7" s="61" t="inlineStr">
        <is>
          <t>—</t>
        </is>
      </c>
    </row>
    <row r="8" ht="18" customHeight="1">
      <c r="A8" s="27" t="inlineStr">
        <is>
          <t>Unpaid Invoice Count</t>
        </is>
      </c>
      <c r="B8" s="38" t="inlineStr">
        <is>
          <t>6,786</t>
        </is>
      </c>
      <c r="C8" s="38" t="inlineStr">
        <is>
          <t>8,212</t>
        </is>
      </c>
      <c r="D8" s="66" t="inlineStr">
        <is>
          <t>+21.0%</t>
        </is>
      </c>
      <c r="E8" s="67" t="inlineStr">
        <is>
          <t>HIGH</t>
        </is>
      </c>
    </row>
    <row r="9" ht="18" customHeight="1">
      <c r="A9" s="62" t="inlineStr">
        <is>
          <t>AR as % of Invoiced</t>
        </is>
      </c>
      <c r="B9" s="63" t="inlineStr">
        <is>
          <t>41.9%</t>
        </is>
      </c>
      <c r="C9" s="63" t="inlineStr">
        <is>
          <t>49.7%</t>
        </is>
      </c>
      <c r="D9" s="64" t="inlineStr">
        <is>
          <t>+7.8pp</t>
        </is>
      </c>
      <c r="E9" s="65" t="inlineStr">
        <is>
          <t>CRITICAL</t>
        </is>
      </c>
    </row>
    <row r="10" ht="18" customHeight="1">
      <c r="A10" s="37" t="inlineStr">
        <is>
          <t>Avg Invoice Amount</t>
        </is>
      </c>
      <c r="B10" s="37" t="inlineStr">
        <is>
          <t>$506.82</t>
        </is>
      </c>
      <c r="C10" s="37" t="inlineStr">
        <is>
          <t>$565.47</t>
        </is>
      </c>
      <c r="D10" s="45" t="inlineStr">
        <is>
          <t>+11.6%</t>
        </is>
      </c>
      <c r="E10" s="45" t="inlineStr">
        <is>
          <t>Positive</t>
        </is>
      </c>
    </row>
    <row r="11" ht="18" customHeight="1">
      <c r="A11" s="40" t="inlineStr">
        <is>
          <t>Payment Type 1 (Check) — Paid</t>
        </is>
      </c>
      <c r="B11" s="40" t="inlineStr">
        <is>
          <t>15,011 / $6.05M</t>
        </is>
      </c>
      <c r="C11" s="40" t="inlineStr">
        <is>
          <t>10,307 / $4.45M</t>
        </is>
      </c>
      <c r="D11" s="44" t="inlineStr">
        <is>
          <t>Volume -31%</t>
        </is>
      </c>
      <c r="E11" s="44" t="inlineStr">
        <is>
          <t>Monitor</t>
        </is>
      </c>
    </row>
    <row r="12" ht="18" customHeight="1">
      <c r="A12" s="37" t="inlineStr">
        <is>
          <t>Payment Type 2 (CC) — Paid</t>
        </is>
      </c>
      <c r="B12" s="37" t="inlineStr">
        <is>
          <t>2,626 / $1.12M</t>
        </is>
      </c>
      <c r="C12" s="37" t="inlineStr">
        <is>
          <t>4,492 / $2.16M</t>
        </is>
      </c>
      <c r="D12" s="45" t="inlineStr">
        <is>
          <t>Volume +71%</t>
        </is>
      </c>
      <c r="E12" s="45" t="inlineStr">
        <is>
          <t>Positive</t>
        </is>
      </c>
    </row>
    <row r="13" ht="18" customHeight="1">
      <c r="A13" s="27" t="inlineStr">
        <is>
          <t>Unpaid with NULL payment type</t>
        </is>
      </c>
      <c r="B13" s="38" t="inlineStr">
        <is>
          <t>6,742 / $5.18M</t>
        </is>
      </c>
      <c r="C13" s="38" t="inlineStr">
        <is>
          <t>8,128 / $6.47M</t>
        </is>
      </c>
      <c r="D13" s="66" t="inlineStr">
        <is>
          <t>+20.5%</t>
        </is>
      </c>
      <c r="E13" s="67" t="inlineStr">
        <is>
          <t>HIGH</t>
        </is>
      </c>
    </row>
    <row r="16" ht="24" customHeight="1">
      <c r="A16" s="68" t="inlineStr">
        <is>
          <t>AR INSIGHTS FOR JESSICA'S AGENT</t>
        </is>
      </c>
    </row>
    <row r="17" ht="28" customHeight="1">
      <c r="A17" s="27" t="inlineStr">
        <is>
          <t>COLLECTED revenue dropped -7.8% YoY ($7.2M -&gt; $6.64M)</t>
        </is>
      </c>
      <c r="B17" s="38" t="inlineStr">
        <is>
          <t>Even though NexGen invoiced MORE in Yr2 (+6.5%), actual cash collected FELL. The business is billing more but collecting less. This is the real story behind the numbers.</t>
        </is>
      </c>
    </row>
    <row r="18" ht="28" customHeight="1">
      <c r="A18" s="27" t="inlineStr">
        <is>
          <t>AR as % of Invoiced is 49.7% in Yr2 (was 41.9%)</t>
        </is>
      </c>
      <c r="B18" s="38" t="inlineStr">
        <is>
          <t>Nearly HALF of all invoiced amounts are uncollected. Industry norm for surveying is ~25-35%. AR agent is not optional — it is critical to business health.</t>
        </is>
      </c>
    </row>
    <row r="19" ht="28" customHeight="1">
      <c r="A19" s="27" t="inlineStr">
        <is>
          <t>Check payments declining (-31%)</t>
        </is>
      </c>
      <c r="B19" s="38" t="inlineStr">
        <is>
          <t>Fewer customers paying by check. Credit card volume up +71%. Consider optimizing payment links in estimate emails.</t>
        </is>
      </c>
    </row>
    <row r="20" ht="28" customHeight="1">
      <c r="A20" s="27" t="inlineStr">
        <is>
          <t>Yr1 AR outstanding: $5.2M</t>
        </is>
      </c>
      <c r="B20" s="38" t="inlineStr">
        <is>
          <t>If Yr1 AR remains uncollected, cumulative multi-year AR could be $10M+. Jessica should audit aging invoices beyond 1 year.</t>
        </is>
      </c>
    </row>
    <row r="21" ht="28" customHeight="1">
      <c r="A21" s="27" t="inlineStr">
        <is>
          <t>8,128 invoices NULL payment type + unpaid</t>
        </is>
      </c>
      <c r="B21" s="38" t="inlineStr">
        <is>
          <t>These are the most at-risk — no payment method on file means no easy way to collect. Prioritize outreach to these accounts.</t>
        </is>
      </c>
    </row>
    <row r="22" ht="28" customHeight="1">
      <c r="A22" s="27" t="inlineStr">
        <is>
          <t>Escalation timing (confirmed from ops)</t>
        </is>
      </c>
      <c r="B22" s="38" t="inlineStr">
        <is>
          <t>Day 30: first reminder | Day 60: Jessica alert | Day 90: Jessica + all stakeholders (Ryan, Mark, Robert, Wyatt). No auto-email to client without human approval.</t>
        </is>
      </c>
    </row>
  </sheetData>
  <mergeCells count="9">
    <mergeCell ref="B17:E17"/>
    <mergeCell ref="B18:E18"/>
    <mergeCell ref="A2:E2"/>
    <mergeCell ref="A16:E16"/>
    <mergeCell ref="B21:E21"/>
    <mergeCell ref="A1:E1"/>
    <mergeCell ref="B19:E19"/>
    <mergeCell ref="B20:E20"/>
    <mergeCell ref="B22:E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9" t="inlineStr">
        <is>
          <t>Commercial vs Residential — Both Years</t>
        </is>
      </c>
    </row>
    <row r="2">
      <c r="A2" s="20" t="inlineStr">
        <is>
          <t>Segment</t>
        </is>
      </c>
      <c r="B2" s="20" t="inlineStr">
        <is>
          <t>Yr1 Orders</t>
        </is>
      </c>
      <c r="C2" s="20" t="inlineStr">
        <is>
          <t>Yr1 Avg</t>
        </is>
      </c>
      <c r="D2" s="20" t="inlineStr">
        <is>
          <t>Yr1 Revenue</t>
        </is>
      </c>
      <c r="E2" s="20" t="inlineStr">
        <is>
          <t>Yr2 Orders</t>
        </is>
      </c>
      <c r="F2" s="20" t="inlineStr">
        <is>
          <t>Yr2 Avg</t>
        </is>
      </c>
      <c r="G2" s="20" t="inlineStr">
        <is>
          <t>Yr2 Revenue</t>
        </is>
      </c>
    </row>
    <row r="3" ht="22" customHeight="1">
      <c r="A3" s="69" t="inlineStr">
        <is>
          <t>Residential</t>
        </is>
      </c>
      <c r="B3" s="70" t="n">
        <v>23938</v>
      </c>
      <c r="C3" s="70" t="inlineStr">
        <is>
          <t>$485</t>
        </is>
      </c>
      <c r="D3" s="71" t="inlineStr">
        <is>
          <t>$11,610,742</t>
        </is>
      </c>
      <c r="E3" s="70" t="n">
        <v>22389</v>
      </c>
      <c r="F3" s="72" t="inlineStr">
        <is>
          <t>$528</t>
        </is>
      </c>
      <c r="G3" s="71" t="inlineStr">
        <is>
          <t>$11,815,733</t>
        </is>
      </c>
    </row>
    <row r="4" ht="22" customHeight="1">
      <c r="A4" s="73" t="inlineStr">
        <is>
          <t>Commercial</t>
        </is>
      </c>
      <c r="B4" s="74" t="n">
        <v>520</v>
      </c>
      <c r="C4" s="74" t="inlineStr">
        <is>
          <t>$1,518</t>
        </is>
      </c>
      <c r="D4" s="75" t="inlineStr">
        <is>
          <t>$789,105</t>
        </is>
      </c>
      <c r="E4" s="74" t="n">
        <v>642</v>
      </c>
      <c r="F4" s="76" t="inlineStr">
        <is>
          <t>$2,160</t>
        </is>
      </c>
      <c r="G4" s="75" t="inlineStr">
        <is>
          <t>$1,386,490</t>
        </is>
      </c>
    </row>
    <row r="5" ht="26" customHeight="1">
      <c r="A5" s="77" t="inlineStr">
        <is>
          <t>Commercial Multiplier (vs residential)</t>
        </is>
      </c>
      <c r="B5" s="78" t="inlineStr"/>
      <c r="C5" s="79" t="inlineStr">
        <is>
          <t>3.1x</t>
        </is>
      </c>
      <c r="D5" s="78" t="inlineStr"/>
      <c r="E5" s="78" t="inlineStr"/>
      <c r="F5" s="80" t="inlineStr">
        <is>
          <t>4.1x</t>
        </is>
      </c>
      <c r="G5" s="78" t="inlineStr"/>
    </row>
    <row r="7" ht="24" customHeight="1">
      <c r="A7" s="58" t="inlineStr">
        <is>
          <t>COMMERCIAL INSIGHTS</t>
        </is>
      </c>
    </row>
    <row r="8" ht="22" customHeight="1">
      <c r="A8" s="30" t="inlineStr">
        <is>
          <t>Commercial growing in value</t>
        </is>
      </c>
      <c r="B8" s="40" t="inlineStr">
        <is>
          <t>Avg commercial price rose from $1,517 to $2,159 (+42.3%) — highest growth of any segment.</t>
        </is>
      </c>
    </row>
    <row r="9" ht="22" customHeight="1">
      <c r="A9" s="30" t="inlineStr">
        <is>
          <t>Commercial is 2.8% of volume, 10.5% of revenue (Yr2)</t>
        </is>
      </c>
      <c r="B9" s="40" t="inlineStr">
        <is>
          <t>Each commercial job = 4.1 residential jobs. Prioritize commercial quoting accuracy — errors are costly.</t>
        </is>
      </c>
    </row>
    <row r="10" ht="22" customHeight="1">
      <c r="A10" s="30" t="inlineStr">
        <is>
          <t>Commercial should always be human-reviewed</t>
        </is>
      </c>
      <c r="B10" s="40" t="inlineStr">
        <is>
          <t>Confirmed rule: flag all ng_commercial=1 orders for Bobby/Robert. Never auto-quote commercial.</t>
        </is>
      </c>
    </row>
    <row r="11" ht="22" customHeight="1">
      <c r="A11" s="30" t="inlineStr">
        <is>
          <t>Yr1 multiplier was 3.1x, Yr2 is 4.1x</t>
        </is>
      </c>
      <c r="B11" s="40" t="inlineStr">
        <is>
          <t>The gap is widening — NexGen is pricing commercial work more aggressively and correctly.</t>
        </is>
      </c>
    </row>
  </sheetData>
  <mergeCells count="6">
    <mergeCell ref="B10:G10"/>
    <mergeCell ref="A1:G1"/>
    <mergeCell ref="B9:G9"/>
    <mergeCell ref="B8:G8"/>
    <mergeCell ref="A7:G7"/>
    <mergeCell ref="B11:G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50" customWidth="1" min="4" max="4"/>
  </cols>
  <sheetData>
    <row r="1" ht="24" customHeight="1">
      <c r="A1" s="19" t="inlineStr">
        <is>
          <t>AI Pipeline Action Items — From Historical Analysis</t>
        </is>
      </c>
    </row>
    <row r="2">
      <c r="A2" s="81" t="inlineStr">
        <is>
          <t>Actions the AI pipeline must take based on what was learned from 2 years of production data.</t>
        </is>
      </c>
    </row>
    <row r="3" ht="18" customHeight="1">
      <c r="A3" s="20" t="inlineStr">
        <is>
          <t>Pri</t>
        </is>
      </c>
      <c r="B3" s="20" t="inlineStr">
        <is>
          <t>Action</t>
        </is>
      </c>
      <c r="C3" s="20" t="inlineStr">
        <is>
          <t>Affects</t>
        </is>
      </c>
      <c r="D3" s="20" t="inlineStr">
        <is>
          <t>Detail</t>
        </is>
      </c>
    </row>
    <row r="4" ht="36" customHeight="1">
      <c r="A4" s="82" t="inlineStr">
        <is>
          <t>P1</t>
        </is>
      </c>
      <c r="B4" s="27" t="inlineStr">
        <is>
          <t>Expand classifier alias map with 32 new aliases from Yr1</t>
        </is>
      </c>
      <c r="C4" s="83" t="inlineStr">
        <is>
          <t>Classifier (Agent 03)</t>
        </is>
      </c>
      <c r="D4" s="29" t="inlineStr">
        <is>
          <t>Survey Refresh-&gt;Update Survey; Topo/Update-&gt;Topography; Boundary Staking-&gt;Building Stake Out; Bldg Pinning-&gt;Building Stake Out; all prior-year aliases listed in 'New Aliases Found' tab.</t>
        </is>
      </c>
    </row>
    <row r="5" ht="36" customHeight="1">
      <c r="A5" s="82" t="inlineStr">
        <is>
          <t>P1</t>
        </is>
      </c>
      <c r="B5" s="27" t="inlineStr">
        <is>
          <t>Set real base price: Land Survey Only = $400-$616 (not $350)</t>
        </is>
      </c>
      <c r="C5" s="83" t="inlineStr">
        <is>
          <t>Pricing (Agent 05)</t>
        </is>
      </c>
      <c r="D5" s="29" t="inlineStr">
        <is>
          <t>The $350 catalogue is a FLOOR. Yr2 modal price = $400-449. Yr1 modal = $350-399. Price floor raised ~$50. Use county table for estimates — never auto-quote below $350.</t>
        </is>
      </c>
    </row>
    <row r="6" ht="36" customHeight="1">
      <c r="A6" s="82" t="inlineStr">
        <is>
          <t>P1</t>
        </is>
      </c>
      <c r="B6" s="27" t="inlineStr">
        <is>
          <t>Flag commercial orders ALWAYS — multiplier is 4.1x residential</t>
        </is>
      </c>
      <c r="C6" s="83" t="inlineStr">
        <is>
          <t>Classifier + Pricing</t>
        </is>
      </c>
      <c r="D6" s="29" t="inlineStr">
        <is>
          <t>ng_commercial=1 orders avg $2,159 in Yr2 (was $1,517 in Yr1). Always route to Bobby/Robert human gate. No auto-quote.</t>
        </is>
      </c>
    </row>
    <row r="7" ht="36" customHeight="1">
      <c r="A7" s="82" t="inlineStr">
        <is>
          <t>P1</t>
        </is>
      </c>
      <c r="B7" s="27" t="inlineStr">
        <is>
          <t>Alert: AR% of revenue is 49.7% in Yr2 (was 41.9% in Yr1)</t>
        </is>
      </c>
      <c r="C7" s="83" t="inlineStr">
        <is>
          <t>AR Agent (Jessica)</t>
        </is>
      </c>
      <c r="D7" s="29" t="inlineStr">
        <is>
          <t>AR is growing faster than revenue. 8,212 unpaid invoices. AR agent escalation is CRITICAL. Escalate: 30d reminder, 60d Jessica alert, 90d all stakeholders.</t>
        </is>
      </c>
    </row>
    <row r="8" ht="36" customHeight="1">
      <c r="A8" s="59" t="inlineStr">
        <is>
          <t>P2</t>
        </is>
      </c>
      <c r="B8" s="30" t="inlineStr">
        <is>
          <t>Panhandle counties: $1,720-$2,466 avg — add to pricing tiers</t>
        </is>
      </c>
      <c r="C8" s="84" t="inlineStr">
        <is>
          <t>Pricing + Knowledge Base</t>
        </is>
      </c>
      <c r="D8" s="32" t="inlineStr">
        <is>
          <t>Santa Rosa $2,466, Escambia $2,210, Bay $2,000, Leon $1,720, Alachua $1,640. These counties did NOT appear in Yr2 — crew may no longer cover them. Verify with Robert.</t>
        </is>
      </c>
    </row>
    <row r="9" ht="36" customHeight="1">
      <c r="A9" s="59" t="inlineStr">
        <is>
          <t>P2</t>
        </is>
      </c>
      <c r="B9" s="30" t="inlineStr">
        <is>
          <t>Investigate Spot Survey surge: 10 -&gt; 106 orders (+960%)</t>
        </is>
      </c>
      <c r="C9" s="84" t="inlineStr">
        <is>
          <t>Classifier + Robert</t>
        </is>
      </c>
      <c r="D9" s="32" t="inlineStr">
        <is>
          <t>Either a new client vertical or a service being renamed/reclassified. Avg $589. Confirm if this is still Foundation Tie-In or a new standalone service.</t>
        </is>
      </c>
    </row>
    <row r="10" ht="36" customHeight="1">
      <c r="A10" s="59" t="inlineStr">
        <is>
          <t>P2</t>
        </is>
      </c>
      <c r="B10" s="30" t="inlineStr">
        <is>
          <t>Investigate Form Board collapse: 60 -&gt; 6 orders (-90%)</t>
        </is>
      </c>
      <c r="C10" s="84" t="inlineStr">
        <is>
          <t>Robert / Bobby</t>
        </is>
      </c>
      <c r="D10" s="32" t="inlineStr">
        <is>
          <t>Form Board Survey nearly disappeared. Either clients stopped ordering or it is being billed differently. Also Property Flagging 63 -&gt; 5.</t>
        </is>
      </c>
    </row>
    <row r="11" ht="36" customHeight="1">
      <c r="A11" s="59" t="inlineStr">
        <is>
          <t>P2</t>
        </is>
      </c>
      <c r="B11" s="30" t="inlineStr">
        <is>
          <t>B-II Title Review: 11 orders Yr1, ZERO in Yr2</t>
        </is>
      </c>
      <c r="C11" s="84" t="inlineStr">
        <is>
          <t>Classifier + Robert</t>
        </is>
      </c>
      <c r="D11" s="32" t="inlineStr">
        <is>
          <t>B-II Title Review disappeared from billing in Yr2. Either no longer offered, or service is being billed under a different name. Ties into I-055 contradiction. Verify immediately.</t>
        </is>
      </c>
    </row>
    <row r="12" ht="36" customHeight="1">
      <c r="A12" s="59" t="inlineStr">
        <is>
          <t>P2</t>
        </is>
      </c>
      <c r="B12" s="30" t="inlineStr">
        <is>
          <t>ALTA: volume -62% but avg price +40% — flag stays, pricing context updated</t>
        </is>
      </c>
      <c r="C12" s="84" t="inlineStr">
        <is>
          <t>Classifier + Pricing</t>
        </is>
      </c>
      <c r="D12" s="32" t="inlineStr">
        <is>
          <t>Only 16 orders in Yr2 vs 43 in Yr1. Avg went from $3,616 to $5,075. The $1,500 catalogue price is meaningless — each ALTA is fully custom. Flag all ALTAs.</t>
        </is>
      </c>
    </row>
    <row r="13" ht="36" customHeight="1">
      <c r="A13" s="20" t="inlineStr">
        <is>
          <t>P3</t>
        </is>
      </c>
      <c r="B13" s="17" t="inlineStr">
        <is>
          <t>Quote orders halved: 3,379 -&gt; 1,721 (-49%)</t>
        </is>
      </c>
      <c r="C13" s="85" t="inlineStr">
        <is>
          <t>Classifier / Monitor</t>
        </is>
      </c>
      <c r="D13" s="86" t="inlineStr">
        <is>
          <t>Positive trend — fewer orders arriving as Quote (unclassified). AI classifier is working. But avg Quote price rose from $853 to $926. High-value unclassified orders still need human review.</t>
        </is>
      </c>
    </row>
    <row r="14" ht="36" customHeight="1">
      <c r="A14" s="20" t="inlineStr">
        <is>
          <t>P3</t>
        </is>
      </c>
      <c r="B14" s="17" t="inlineStr">
        <is>
          <t>Credit card payments growing +71% YoY</t>
        </is>
      </c>
      <c r="C14" s="85" t="inlineStr">
        <is>
          <t>Email Sender (Agent 08)</t>
        </is>
      </c>
      <c r="D14" s="86" t="inlineStr">
        <is>
          <t>Customers increasingly paying by CC. Ensure payment links in estimate emails are prominent and functional. CC surcharge policy should be in estimate if applicable.</t>
        </is>
      </c>
    </row>
    <row r="15" ht="36" customHeight="1">
      <c r="A15" s="20" t="inlineStr">
        <is>
          <t>P3</t>
        </is>
      </c>
      <c r="B15" s="17" t="inlineStr">
        <is>
          <t>Price increase confirmation: $350-399 bucket -78% YoY</t>
        </is>
      </c>
      <c r="C15" s="85" t="inlineStr">
        <is>
          <t>Pricing Intelligence</t>
        </is>
      </c>
      <c r="D15" s="86" t="inlineStr">
        <is>
          <t>NexGen raised prices significantly. The AI pricing model must reflect Yr2 actuals, not Yr1. Use Yr2 county averages as primary reference. Yr1 data confirms the trend direction.</t>
        </is>
      </c>
    </row>
    <row r="16" ht="36" customHeight="1">
      <c r="A16" s="20" t="inlineStr">
        <is>
          <t>P3</t>
        </is>
      </c>
      <c r="B16" s="17" t="inlineStr">
        <is>
          <t>Run fetch_historical_pricing.py for both years</t>
        </is>
      </c>
      <c r="C16" s="85" t="inlineStr">
        <is>
          <t>scripts/</t>
        </is>
      </c>
      <c r="D16" s="86" t="inlineStr">
        <is>
          <t>The historical pricing JSON should now include both Yr1 and Yr2 for context. Run with --days 730 to capture full 2-year window for pricing AI.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6" customWidth="1" min="3" max="3"/>
    <col width="36" customWidth="1" min="4" max="4"/>
  </cols>
  <sheetData>
    <row r="1" ht="24" customHeight="1">
      <c r="A1" s="19" t="inlineStr">
        <is>
          <t>AI Analyst Questions — Business, Sales &amp; Finance Intelligence</t>
        </is>
      </c>
    </row>
    <row r="2" ht="36" customHeight="1">
      <c r="A2" s="81" t="inlineStr">
        <is>
          <t>Ryan's feedback (2026-05-28): 'The agent seems to not have thought behind this — just a data pull. Viewing every order as revenue, not paid orders as revenue.' He is right. A real analyst distinguishes: INVOICED ($13.2M billed) vs COLLECTED ($6.64M cash received) vs POTENTIAL (all orders x price). Below are the 13 questions I — as your AI business/sales/finance analyst — am asking about this data. I have answered what I can. Where I need human input, I say so clearly.</t>
        </is>
      </c>
    </row>
    <row r="3" ht="22" customHeight="1">
      <c r="A3" s="20" t="inlineStr">
        <is>
          <t>#</t>
        </is>
      </c>
      <c r="B3" s="20" t="inlineStr">
        <is>
          <t>My Question</t>
        </is>
      </c>
      <c r="C3" s="20" t="inlineStr">
        <is>
          <t>What the Data Says</t>
        </is>
      </c>
      <c r="D3" s="20" t="inlineStr">
        <is>
          <t>What I Need / Action</t>
        </is>
      </c>
    </row>
    <row r="4" ht="22" customHeight="1">
      <c r="A4" s="36" t="inlineStr">
        <is>
          <t>REVENUE REALITY — Potential vs Actual</t>
        </is>
      </c>
    </row>
    <row r="5" ht="72" customHeight="1">
      <c r="A5" s="20" t="inlineStr">
        <is>
          <t>1</t>
        </is>
      </c>
      <c r="B5" s="21" t="inlineStr">
        <is>
          <t>What is the difference between your order revenue numbers and your actual business revenue?</t>
        </is>
      </c>
      <c r="C5" s="23" t="inlineStr">
        <is>
          <t>Yr2: $13.2M INVOICED (potential). Only ~$6.65M actually collected (paid). $6.57M is still outstanding — 49.7% of revenue is uncollected. Every time someone says '$13M revenue' they are quoting POTENTIAL, not cash.</t>
        </is>
      </c>
      <c r="D5" s="32" t="inlineStr">
        <is>
          <t>Confirm: does the team track COLLECTED revenue separately? Jessica's AR agent should report both numbers on every digest.</t>
        </is>
      </c>
    </row>
    <row r="6" ht="72" customHeight="1">
      <c r="A6" s="20" t="inlineStr">
        <is>
          <t>2</t>
        </is>
      </c>
      <c r="B6" s="17" t="inlineStr">
        <is>
          <t>How much revenue is locked in 'Quote' orders that were never converted?</t>
        </is>
      </c>
      <c r="C6" s="86" t="inlineStr">
        <is>
          <t>Yr2: 1,721 Quote orders at avg $926 = $1.59M in potential revenue sitting unclassified. Yr1 had 3,379 Quotes at avg $853 = $2.88M. If even 40% of Yr2 Quotes were converted and paid = $636K additional revenue.</t>
        </is>
      </c>
      <c r="D6" s="32" t="inlineStr">
        <is>
          <t>What is the actual Quote-to-Paid conversion rate? I need: how many Quote orders eventually became Delivered/Complete. This is the single most valuable number for sales planning.</t>
        </is>
      </c>
    </row>
    <row r="7" ht="72" customHeight="1">
      <c r="A7" s="20" t="inlineStr">
        <is>
          <t>3</t>
        </is>
      </c>
      <c r="B7" s="21" t="inlineStr">
        <is>
          <t>How much revenue was lost to canceled orders?</t>
        </is>
      </c>
      <c r="C7" s="23" t="inlineStr">
        <is>
          <t>I can see partial cancellation billing in the data ('Cancel after office prep 10%', 'Cancel after field work 50%') but I do not have total cancellation counts or lost revenue. These show up as informal service types — they are NOT in the canonical catalogue.</t>
        </is>
      </c>
      <c r="D7" s="32" t="inlineStr">
        <is>
          <t>Pull all orders with status=Cancelled from FTF API. How many? What service types? What was the original quote? Cancel rate and lost revenue are metrics the team should review monthly.</t>
        </is>
      </c>
    </row>
    <row r="8" ht="22" customHeight="1">
      <c r="A8" s="36" t="inlineStr">
        <is>
          <t>QUOTE PIPELINE — Where Does Revenue Die?</t>
        </is>
      </c>
    </row>
    <row r="9" ht="72" customHeight="1">
      <c r="A9" s="20" t="inlineStr">
        <is>
          <t>4</t>
        </is>
      </c>
      <c r="B9" s="17" t="inlineStr">
        <is>
          <t>What happens to a Quote order after it arrives? What are the drop-off points?</t>
        </is>
      </c>
      <c r="C9" s="86" t="inlineStr">
        <is>
          <t>Current pipeline: Quote arrives -&gt; Classifier flags it -&gt; Human Gate -&gt; awaiting approval. If human does not approve within 24h, escalation to Ryan/Wyatt. But I do NOT know: how many Quotes expire (60-day auto-cancel per FTF portal)? How many are rejected vs converted?</t>
        </is>
      </c>
      <c r="D9" s="32" t="inlineStr">
        <is>
          <t>I need a funnel report: Quotes received -&gt; Classified -&gt; Approved -&gt; Sent -&gt; Paid. Each stage where orders drop off = lost revenue opportunity. BUILD: Quote pipeline funnel as a monthly KPI.</t>
        </is>
      </c>
    </row>
    <row r="10" ht="72" customHeight="1">
      <c r="A10" s="20" t="inlineStr">
        <is>
          <t>5</t>
        </is>
      </c>
      <c r="B10" s="21" t="inlineStr">
        <is>
          <t>Why did Quote volume drop 49% from Yr1 to Yr2 (3,379 -&gt; 1,721)?</t>
        </is>
      </c>
      <c r="C10" s="23" t="inlineStr">
        <is>
          <t>Two possible explanations: (A) FTF staff are classifying orders faster so fewer arrive as Quote, or (B) overall new-order intake dropped 49%. Revenue grew +6.5% despite this drop — so explanation A is more likely (better classification, same or higher quality orders).</t>
        </is>
      </c>
      <c r="D10" s="32" t="inlineStr">
        <is>
          <t>Confirm with Robert: is the team entering service types more carefully in Yr2? If yes, this is a positive data quality improvement. If no, new-order intake may have actually declined — which is a sales problem.</t>
        </is>
      </c>
    </row>
    <row r="11" ht="22" customHeight="1">
      <c r="A11" s="36" t="inlineStr">
        <is>
          <t>AR RISK — $6.57M Uncollected</t>
        </is>
      </c>
    </row>
    <row r="12" ht="72" customHeight="1">
      <c r="A12" s="20" t="inlineStr">
        <is>
          <t>6</t>
        </is>
      </c>
      <c r="B12" s="17" t="inlineStr">
        <is>
          <t>Which clients owe the most money? Are the largest AR balances B2B or individual?</t>
        </is>
      </c>
      <c r="C12" s="86" t="inlineStr">
        <is>
          <t>I know: 49.7% of Yr2 revenue ($6.57M) is unpaid. 8,212 invoices unpaid. Avg unpaid invoice = $799. But I do NOT have: a client-level AR aging breakdown. B2B clients (title companies, builders) tend to have larger balances.</t>
        </is>
      </c>
      <c r="D12" s="32" t="inlineStr">
        <is>
          <t>Jessica needs: a top-50 AR aging report by client, sorted by total owed. This is the #1 collection priority. If even the top 10 clients pay, that could be $500K-$1M recovered.</t>
        </is>
      </c>
    </row>
    <row r="13" ht="72" customHeight="1">
      <c r="A13" s="20" t="inlineStr">
        <is>
          <t>7</t>
        </is>
      </c>
      <c r="B13" s="21" t="inlineStr">
        <is>
          <t>Are invoices getting paid faster or slower year over year?</t>
        </is>
      </c>
      <c r="C13" s="23" t="inlineStr">
        <is>
          <t>Payment volume shifted: check payments -31% (15K-&gt;10K), CC payments +71% (2.6K-&gt;4.5K). CC payments are typically faster (same-day authorization vs check clearing). BUT: unpaid invoices grew +21% despite more CC volume — suggesting more invoices are never paid at all (not just slow payers).</t>
        </is>
      </c>
      <c r="D13" s="32" t="inlineStr">
        <is>
          <t>Track: avg days-to-payment by payment type. If CC avg = 2 days and check avg = 30 days, push CC in all estimate emails. Also: how many invoices have been unpaid &gt;90 days? &gt;180 days? &gt;1 year?</t>
        </is>
      </c>
    </row>
    <row r="14" ht="22" customHeight="1">
      <c r="A14" s="36" t="inlineStr">
        <is>
          <t>GROWTH OPPORTUNITIES — Where Is the Money?</t>
        </is>
      </c>
    </row>
    <row r="15" ht="72" customHeight="1">
      <c r="A15" s="20" t="inlineStr">
        <is>
          <t>8</t>
        </is>
      </c>
      <c r="B15" s="17" t="inlineStr">
        <is>
          <t>Commercial is 2.8% of volume but 10.5% of revenue. Are we maximizing commercial?</t>
        </is>
      </c>
      <c r="C15" s="86" t="inlineStr">
        <is>
          <t>Yr2: 642 commercial orders, avg $2,159. If NexGen could add 100 more commercial jobs at $2,159 avg = $215,900 additional revenue. Commercial multiplier grew from 3.1x to 4.1x — NexGen is pricing commercial work correctly now.</t>
        </is>
      </c>
      <c r="D15" s="32" t="inlineStr">
        <is>
          <t>How many commercial quotes are being rejected or expiring? Commercial pipeline needs priority handling. Every lost commercial job = 4 lost residential jobs in revenue value.</t>
        </is>
      </c>
    </row>
    <row r="16" ht="72" customHeight="1">
      <c r="A16" s="20" t="inlineStr">
        <is>
          <t>9</t>
        </is>
      </c>
      <c r="B16" s="21" t="inlineStr">
        <is>
          <t>Panhandle counties averaged $1,720-$2,466 per job in Yr1. Why did they disappear in Yr2?</t>
        </is>
      </c>
      <c r="C16" s="23" t="inlineStr">
        <is>
          <t>Santa Rosa ($2,466 avg), Escambia ($2,210), Bay ($2,000), Leon ($1,720) — all appeared in Yr1, ZERO orders in Yr2. Combined Yr1 Panhandle revenue: ~$165K from 85 orders (avg ~$1,940). If these counties are no longer being served, that is $165K/year lost.</t>
        </is>
      </c>
      <c r="D16" s="32" t="inlineStr">
        <is>
          <t>Bobby/Robert: are we still taking Panhandle jobs? If crew coverage is the issue, can we use contract surveyors? These are the highest-priced jobs in the state — worth solving.</t>
        </is>
      </c>
    </row>
    <row r="17" ht="72" customHeight="1">
      <c r="A17" s="20" t="inlineStr">
        <is>
          <t>10</t>
        </is>
      </c>
      <c r="B17" s="17" t="inlineStr">
        <is>
          <t>Spot Survey surged from 10 to 106 orders (+960%). What is driving this?</t>
        </is>
      </c>
      <c r="C17" s="86" t="inlineStr">
        <is>
          <t>Spot Survey (New Client) = Foundation Tie-In in canonical terms. Avg price $589. 106 orders x $589 = $62K in Yr2. This surge suggests either a new client vertical or more new clients being onboarded needing foundation surveys before construction.</t>
        </is>
      </c>
      <c r="D17" s="32" t="inlineStr">
        <is>
          <t>Who are the new Spot Survey clients? Is this from one builder/developer relationship? If one client is driving 100 jobs, that is a strategic relationship to protect. If it is many new clients, what marketing channel brought them in?</t>
        </is>
      </c>
    </row>
    <row r="18" ht="22" customHeight="1">
      <c r="A18" s="36" t="inlineStr">
        <is>
          <t>OPERATIONAL GAPS — What I Cannot See But Need To</t>
        </is>
      </c>
    </row>
    <row r="19" ht="72" customHeight="1">
      <c r="A19" s="20" t="inlineStr">
        <is>
          <t>11</t>
        </is>
      </c>
      <c r="B19" s="21" t="inlineStr">
        <is>
          <t>What is NexGen's actual cash position month-to-month? I only see invoiced amounts.</t>
        </is>
      </c>
      <c r="C19" s="23" t="inlineStr">
        <is>
          <t>I can see what was billed ($13.2M) and what is unpaid ($6.57M). But I cannot see: when payments cleared, what were operating costs, payroll, or net profit. The $6.65M collected is gross — not net.</t>
        </is>
      </c>
      <c r="D19" s="32" t="inlineStr">
        <is>
          <t>For real financial health monitoring, AI needs access to QuickBooks or the actual cash accounts. The FTF Books data I have is accounts receivable only. Jessica or Ryan: can QuickBooks data be connected?</t>
        </is>
      </c>
    </row>
    <row r="20" ht="72" customHeight="1">
      <c r="A20" s="20" t="inlineStr">
        <is>
          <t>12</t>
        </is>
      </c>
      <c r="B20" s="17" t="inlineStr">
        <is>
          <t>B-II Title Review billed 11 times in Yr1 and ZERO in Yr2. What happened?</t>
        </is>
      </c>
      <c r="C20" s="86" t="inlineStr">
        <is>
          <t>B-II Title Review ($450 catalogue price) completely disappeared from Yr2 billing. Either: (A) NexGen stopped offering it, (B) it is being billed under another name, or (C) those clients went elsewhere. Also conflicts with I-055 (auto-quote vs flag debate).</t>
        </is>
      </c>
      <c r="D20" s="32" t="inlineStr">
        <is>
          <t>Robert must confirm: is B-II Title Review still offered? If yes, why is it not appearing? If no, remove from catalogue. This is an unanswered question that has been open since I-055 (2026-05-26).</t>
        </is>
      </c>
    </row>
    <row r="21" ht="72" customHeight="1">
      <c r="A21" s="20" t="inlineStr">
        <is>
          <t>13</t>
        </is>
      </c>
      <c r="B21" s="21" t="inlineStr">
        <is>
          <t>Are seasonal staffing levels matched to the March-April peak?</t>
        </is>
      </c>
      <c r="C21" s="23" t="inlineStr">
        <is>
          <t>March-April 2026 = busiest months: 2,219 and 2,212 orders respectively. Nov 2025 = slowest at 1,564 orders. Peak/trough ratio = 1.42x. If crew size is fixed, March-April will have backlogs and customer delays.</t>
        </is>
      </c>
      <c r="D21" s="32" t="inlineStr">
        <is>
          <t>Bobby: what is current crew headcount? Do we add contract surveyors in March-April? Weather monitoring agent (I-070) should alert on peak months + bad weather together — that combination is highest delay risk.</t>
        </is>
      </c>
    </row>
  </sheetData>
  <mergeCells count="7">
    <mergeCell ref="A1:D1"/>
    <mergeCell ref="A18:D18"/>
    <mergeCell ref="A8:D8"/>
    <mergeCell ref="A4:D4"/>
    <mergeCell ref="A2:D2"/>
    <mergeCell ref="A11:D11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6" customWidth="1" min="5" max="5"/>
    <col width="38" customWidth="1" min="6" max="6"/>
  </cols>
  <sheetData>
    <row r="1" ht="24" customHeight="1">
      <c r="A1" s="19" t="inlineStr">
        <is>
          <t>AI Thoughts — What Would I Do If I Had to Invoice Today's Jobs?</t>
        </is>
      </c>
    </row>
    <row r="2" ht="36" customHeight="1">
      <c r="A2" s="81" t="inlineStr">
        <is>
          <t>TODAY: 2026-05-28 (Wednesday, May). Ryan's feedback (2026-05-28): 'The agent seems to not have thought behind this — just a data pull. Viewing every order as revenue, not paid orders.' He is correct. The prior analysis conflated INVOICED with COLLECTED. Below is my corrected reasoning — as a FL PSM + business/sales/finance expert. I distinguish: COLLECTED (cash) vs INVOICED (billed) vs POTENTIAL (all orders incl. quotes). Based on May 2026 actuals (~80 orders/day, ~$556 avg invoiced, ~$280 avg collected after AR haircut).</t>
        </is>
      </c>
    </row>
    <row r="3" ht="24" customHeight="1">
      <c r="A3" s="87" t="inlineStr">
        <is>
          <t>SECTION 1 — Expected Order Mix Today (Based on May 2026 Actuals)</t>
        </is>
      </c>
    </row>
    <row r="4" ht="20" customHeight="1">
      <c r="A4" s="36" t="inlineStr">
        <is>
          <t>Service Type</t>
        </is>
      </c>
      <c r="B4" s="36" t="inlineStr">
        <is>
          <t>Expected Today</t>
        </is>
      </c>
      <c r="C4" s="36" t="inlineStr">
        <is>
          <t>Avg Price</t>
        </is>
      </c>
      <c r="D4" s="36" t="inlineStr">
        <is>
          <t>Auto-Quote?</t>
        </is>
      </c>
      <c r="E4" s="36" t="inlineStr">
        <is>
          <t>Est. Revenue</t>
        </is>
      </c>
      <c r="F4" s="36" t="inlineStr">
        <is>
          <t>My Reasoning</t>
        </is>
      </c>
    </row>
    <row r="5" ht="72" customHeight="1">
      <c r="A5" s="24" t="inlineStr">
        <is>
          <t>Boundary Survey
(Land Survey Only / Land Survey &amp; Elevation)</t>
        </is>
      </c>
      <c r="B5" s="25" t="inlineStr">
        <is>
          <t>~46 orders</t>
        </is>
      </c>
      <c r="C5" s="25" t="inlineStr">
        <is>
          <t>$556</t>
        </is>
      </c>
      <c r="D5" s="88" t="inlineStr">
        <is>
          <t>YES — if county known, no VE zone</t>
        </is>
      </c>
      <c r="E5" s="45" t="inlineStr">
        <is>
          <t>~$25,600</t>
        </is>
      </c>
      <c r="F5" s="26" t="inlineStr">
        <is>
          <t>The dominant service at 57% of volume. I use county-based pricing: Palm Beach $572, Broward $512, Hillsborough $575. If flood zone = AE, I add Elevation Certificate ($225). If county is MISSING, I flag for human — cannot price without it. If flood zone = VE, I flag regardless of service type.</t>
        </is>
      </c>
    </row>
    <row r="6" ht="72" customHeight="1">
      <c r="A6" s="27" t="inlineStr">
        <is>
          <t>Quote (Unclassified orders from FTF)</t>
        </is>
      </c>
      <c r="B6" s="28" t="inlineStr">
        <is>
          <t>~6 orders</t>
        </is>
      </c>
      <c r="C6" s="28" t="inlineStr">
        <is>
          <t>$926 avg</t>
        </is>
      </c>
      <c r="D6" s="89" t="inlineStr">
        <is>
          <t>NO — always flag</t>
        </is>
      </c>
      <c r="E6" s="66" t="inlineStr">
        <is>
          <t>$0 auto-quoted
$5,556 potential</t>
        </is>
      </c>
      <c r="F6" s="29" t="inlineStr">
        <is>
          <t>These arrive with service_type='Quote' — FTF staff did not classify them yet. My classifier cannot guess what survey is needed. Average value is HIGH ($926) — these are likely complex or commercial. I send all 6 to human gate immediately with flag: 'service_type=Quote — unclassified by FTF staff.'</t>
        </is>
      </c>
    </row>
    <row r="7" ht="72" customHeight="1">
      <c r="A7" s="24" t="inlineStr">
        <is>
          <t>Elevation Certificate (standalone)</t>
        </is>
      </c>
      <c r="B7" s="25" t="inlineStr">
        <is>
          <t>~2 orders</t>
        </is>
      </c>
      <c r="C7" s="25" t="inlineStr">
        <is>
          <t>$271</t>
        </is>
      </c>
      <c r="D7" s="88" t="inlineStr">
        <is>
          <t>YES — if individual, no VE zone</t>
        </is>
      </c>
      <c r="E7" s="45" t="inlineStr">
        <is>
          <t>~$540</t>
        </is>
      </c>
      <c r="F7" s="26" t="inlineStr">
        <is>
          <t>These are simpler standalone certs. I check: is it AE zone (standard EC) or VE zone (flag for specialist)? Individual client + AE zone = auto-quote $271. Commercial or VE = flag. I note on the estimate: FEMA flood zone designation, why the EC is needed, and that NexGen is a licensed FL PSM.</t>
        </is>
      </c>
    </row>
    <row r="8" ht="72" customHeight="1">
      <c r="A8" s="27" t="inlineStr">
        <is>
          <t>ALTA Table A Survey</t>
        </is>
      </c>
      <c r="B8" s="28" t="inlineStr">
        <is>
          <t>~1 order</t>
        </is>
      </c>
      <c r="C8" s="28" t="inlineStr">
        <is>
          <t>$5,075 avg</t>
        </is>
      </c>
      <c r="D8" s="89" t="inlineStr">
        <is>
          <t>NO — always flag</t>
        </is>
      </c>
      <c r="E8" s="66" t="inlineStr">
        <is>
          <t>$0 auto-quoted
$5,075 potential</t>
        </is>
      </c>
      <c r="F8" s="29" t="inlineStr">
        <is>
          <t>ALTA is always human review. No exceptions. Avg Yr2 price is $5,075 but every ALTA is custom-scoped. I cannot auto-quote without knowing: table A items requested, acreage, encumbrances, title commitment. I flag immediately: 'ALTA — custom scope required, Bobby/Robert must review.'</t>
        </is>
      </c>
    </row>
    <row r="9" ht="72" customHeight="1">
      <c r="A9" s="24" t="inlineStr">
        <is>
          <t>Update Survey / Re-Survey</t>
        </is>
      </c>
      <c r="B9" s="25" t="inlineStr">
        <is>
          <t>~2 orders</t>
        </is>
      </c>
      <c r="C9" s="25" t="inlineStr">
        <is>
          <t>$398</t>
        </is>
      </c>
      <c r="D9" s="88" t="inlineStr">
        <is>
          <t>YES — if prior survey on file</t>
        </is>
      </c>
      <c r="E9" s="45" t="inlineStr">
        <is>
          <t>~$796</t>
        </is>
      </c>
      <c r="F9" s="26" t="inlineStr">
        <is>
          <t>Update surveys recertify a prior NexGen survey. I check: is there a prior survey on file? If yes, price at $398 (Yr2 avg). If this is a competitor's prior survey, I flag — we may need to do a full boundary instead. Important: recertification is 40-60% less cost than a new survey — I make sure this is reflected in the estimate.</t>
        </is>
      </c>
    </row>
    <row r="10" ht="72" customHeight="1">
      <c r="A10" s="27" t="inlineStr">
        <is>
          <t>Commercial / B2B (any service type)</t>
        </is>
      </c>
      <c r="B10" s="28" t="inlineStr">
        <is>
          <t>~2 orders</t>
        </is>
      </c>
      <c r="C10" s="28" t="inlineStr">
        <is>
          <t>$2,159 avg</t>
        </is>
      </c>
      <c r="D10" s="89" t="inlineStr">
        <is>
          <t>NO — always flag</t>
        </is>
      </c>
      <c r="E10" s="66" t="inlineStr">
        <is>
          <t>$0 auto-quoted
$4,318 potential</t>
        </is>
      </c>
      <c r="F10" s="29" t="inlineStr">
        <is>
          <t>Commercial multiplier is 4.1x residential in Yr2. I flag ALL commercial orders for Bobby/Robert. I do not auto-quote commercial even for simple services — complexity factors (walls, pools, drainage, site access) are not captured in the order form and can double the price. Human judgment is required.</t>
        </is>
      </c>
    </row>
    <row r="11" ht="72" customHeight="1">
      <c r="A11" s="27" t="inlineStr">
        <is>
          <t>Monroe County (any service)</t>
        </is>
      </c>
      <c r="B11" s="28" t="inlineStr">
        <is>
          <t>~0-1 orders</t>
        </is>
      </c>
      <c r="C11" s="28" t="inlineStr">
        <is>
          <t>$1,735 avg</t>
        </is>
      </c>
      <c r="D11" s="89" t="inlineStr">
        <is>
          <t>NO — always flag</t>
        </is>
      </c>
      <c r="E11" s="66" t="inlineStr">
        <is>
          <t>$0 auto-quoted</t>
        </is>
      </c>
      <c r="F11" s="29" t="inlineStr">
        <is>
          <t>Monroe County = Florida Keys. Non-standard pricing due to island access, tidal flood complexity, and CCCL (Coastal Construction Control Line) regulations. I flag every Monroe County order regardless of service type with: 'Monroe County — non-standard pricing, human review required.' This is a hard rule from the classifier.</t>
        </is>
      </c>
    </row>
    <row r="13" ht="24" customHeight="1">
      <c r="A13" s="87" t="inlineStr">
        <is>
          <t>SECTION 2 — My End-of-Day Summary (If I Run the Pipeline Today)</t>
        </is>
      </c>
    </row>
    <row r="14" ht="20" customHeight="1">
      <c r="A14" s="36" t="inlineStr">
        <is>
          <t>Outcome</t>
        </is>
      </c>
      <c r="B14" s="36" t="inlineStr">
        <is>
          <t>Count</t>
        </is>
      </c>
      <c r="C14" s="36" t="inlineStr">
        <is>
          <t>Revenue</t>
        </is>
      </c>
      <c r="D14" s="36" t="inlineStr"/>
      <c r="E14" s="36" t="inlineStr">
        <is>
          <t>Status</t>
        </is>
      </c>
      <c r="F14" s="36" t="inlineStr">
        <is>
          <t>Notes</t>
        </is>
      </c>
    </row>
    <row r="15" ht="36" customHeight="1">
      <c r="A15" s="24" t="inlineStr">
        <is>
          <t>Auto-quoted &amp; sent to clients</t>
        </is>
      </c>
      <c r="B15" s="25" t="inlineStr">
        <is>
          <t>~50</t>
        </is>
      </c>
      <c r="C15" s="45" t="inlineStr">
        <is>
          <t>~$26,936</t>
        </is>
      </c>
      <c r="D15" s="37" t="inlineStr"/>
      <c r="E15" s="45" t="inlineStr">
        <is>
          <t>DONE</t>
        </is>
      </c>
      <c r="F15" s="26" t="inlineStr">
        <is>
          <t>Boundary surveys, ECs, update surveys in known counties. Estimates sent 8 AM-6 PM ET only.</t>
        </is>
      </c>
    </row>
    <row r="16" ht="36" customHeight="1">
      <c r="A16" s="30" t="inlineStr">
        <is>
          <t>Flagged — sent to human gate (Bobby/Robert)</t>
        </is>
      </c>
      <c r="B16" s="31" t="inlineStr">
        <is>
          <t>~12</t>
        </is>
      </c>
      <c r="C16" s="44" t="inlineStr">
        <is>
          <t>$0 (held)</t>
        </is>
      </c>
      <c r="D16" s="40" t="inlineStr"/>
      <c r="E16" s="44" t="inlineStr">
        <is>
          <t>PENDING HUMAN</t>
        </is>
      </c>
      <c r="F16" s="32" t="inlineStr">
        <is>
          <t>Quotes, ALTA, commercial, Monroe County, VE zones. Batch digest sent every hour per I-064.</t>
        </is>
      </c>
    </row>
    <row r="17" ht="36" customHeight="1">
      <c r="A17" s="27" t="inlineStr">
        <is>
          <t>Refund requests intercepted</t>
        </is>
      </c>
      <c r="B17" s="28" t="inlineStr">
        <is>
          <t>0 expected</t>
        </is>
      </c>
      <c r="C17" s="66" t="inlineStr">
        <is>
          <t>$0</t>
        </is>
      </c>
      <c r="D17" s="38" t="inlineStr"/>
      <c r="E17" s="66" t="inlineStr">
        <is>
          <t>JESSICA ONLY</t>
        </is>
      </c>
      <c r="F17" s="29" t="inlineStr">
        <is>
          <t>Hard rule (I-063): any refund mentioned in email or order notes -&gt; Jessica immediately. AI never touches.</t>
        </is>
      </c>
    </row>
    <row r="18" ht="36" customHeight="1">
      <c r="A18" s="17" t="inlineStr">
        <is>
          <t>Estimate emails queued (outside hours)</t>
        </is>
      </c>
      <c r="B18" s="48" t="inlineStr">
        <is>
          <t>~3</t>
        </is>
      </c>
      <c r="C18" s="90" t="inlineStr">
        <is>
          <t>~$1,680</t>
        </is>
      </c>
      <c r="D18" s="47" t="inlineStr"/>
      <c r="E18" s="90" t="inlineStr">
        <is>
          <t>QUEUED</t>
        </is>
      </c>
      <c r="F18" s="86" t="inlineStr">
        <is>
          <t>Orders received after 6 PM ET. Will send tomorrow 8 AM. No sends outside business hours.</t>
        </is>
      </c>
    </row>
    <row r="21" ht="22" customHeight="1">
      <c r="A21" s="68" t="inlineStr">
        <is>
          <t>SECTION 3 — What I Still Need to Invoice Better (Knowledge Gaps)</t>
        </is>
      </c>
    </row>
    <row r="22" ht="20" customHeight="1">
      <c r="A22" s="82" t="inlineStr">
        <is>
          <t>Gap</t>
        </is>
      </c>
      <c r="B22" s="82" t="inlineStr">
        <is>
          <t>Impact</t>
        </is>
      </c>
      <c r="C22" s="82" t="inlineStr">
        <is>
          <t>Who Resolves</t>
        </is>
      </c>
      <c r="D22" s="82" t="inlineStr"/>
      <c r="E22" s="82" t="inlineStr">
        <is>
          <t>Priority</t>
        </is>
      </c>
      <c r="F22" s="82" t="inlineStr">
        <is>
          <t>Detail</t>
        </is>
      </c>
    </row>
    <row r="23" ht="54" customHeight="1">
      <c r="A23" s="27" t="inlineStr">
        <is>
          <t>Property complexity data not in order form</t>
        </is>
      </c>
      <c r="B23" s="29" t="inlineStr">
        <is>
          <t>I cannot price pools, sheds, wall count, driveways, or lot shape — all major price factors per Ryan's call</t>
        </is>
      </c>
      <c r="C23" s="28" t="inlineStr">
        <is>
          <t>Robert / FTF developer</t>
        </is>
      </c>
      <c r="D23" s="38" t="inlineStr"/>
      <c r="E23" s="65" t="inlineStr">
        <is>
          <t>HIGH</t>
        </is>
      </c>
      <c r="F23" s="29" t="inlineStr">
        <is>
          <t>Ryan: 'Same half-acre with pool, 3 walls, shed = $700. Plain house = $350.' Until FTF order form captures complexity, I use county averages only. I may under-quote complex jobs.</t>
        </is>
      </c>
    </row>
    <row r="24" ht="54" customHeight="1">
      <c r="A24" s="30" t="inlineStr">
        <is>
          <t>Quote-to-paid conversion rate unknown</t>
        </is>
      </c>
      <c r="B24" s="32" t="inlineStr">
        <is>
          <t>I cannot optimize the quote pipeline without knowing how many Quotes convert</t>
        </is>
      </c>
      <c r="C24" s="31" t="inlineStr">
        <is>
          <t>Jessica / FTF data pull</t>
        </is>
      </c>
      <c r="D24" s="40" t="inlineStr"/>
      <c r="E24" s="65" t="inlineStr">
        <is>
          <t>HIGH</t>
        </is>
      </c>
      <c r="F24" s="32" t="inlineStr">
        <is>
          <t>If 1,721 Yr2 Quotes have 40% conversion = $636K recovered. If 20% = $318K. This one number changes the AR strategy completely.</t>
        </is>
      </c>
    </row>
    <row r="25" ht="54" customHeight="1">
      <c r="A25" s="27" t="inlineStr">
        <is>
          <t>Crew location / schedule not available to me</t>
        </is>
      </c>
      <c r="B25" s="29" t="inlineStr">
        <is>
          <t>I cannot factor travel cost into pricing for remote counties</t>
        </is>
      </c>
      <c r="C25" s="28" t="inlineStr">
        <is>
          <t>Bobby / FieldPack</t>
        </is>
      </c>
      <c r="D25" s="38" t="inlineStr"/>
      <c r="E25" s="91" t="inlineStr">
        <is>
          <t>MEDIUM</t>
        </is>
      </c>
      <c r="F25" s="29" t="inlineStr">
        <is>
          <t>Ryan: 'Far from crew = charge more.' I have no access to crew schedule. Near-term: add county-based distance tier to pricing (Panhandle = always high, Central FL = baseline).</t>
        </is>
      </c>
    </row>
    <row r="26" ht="54" customHeight="1">
      <c r="A26" s="30" t="inlineStr">
        <is>
          <t>Florida PSM standards wired in but not tested on real disputes</t>
        </is>
      </c>
      <c r="B26" s="32" t="inlineStr">
        <is>
          <t>My FL PSM persona was built from regulations — not from NexGen's actual field decisions</t>
        </is>
      </c>
      <c r="C26" s="31" t="inlineStr">
        <is>
          <t>Robert / Mark</t>
        </is>
      </c>
      <c r="D26" s="40" t="inlineStr"/>
      <c r="E26" s="91" t="inlineStr">
        <is>
          <t>MEDIUM</t>
        </is>
      </c>
      <c r="F26" s="32" t="inlineStr">
        <is>
          <t>Feed me 5-10 real NexGen estimate examples that were disputed or revised. I will learn the gap between the FL standard and what NexGen actually does in the field.</t>
        </is>
      </c>
    </row>
  </sheetData>
  <mergeCells count="5">
    <mergeCell ref="A2:F2"/>
    <mergeCell ref="A13:F13"/>
    <mergeCell ref="A1:F1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2026-05-27T18:54:53Z</dcterms:created>
  <dcterms:modified xmlns:dcterms="http://purl.org/dc/terms/" xmlns:xsi="http://www.w3.org/2001/XMLSchema-instance" xsi:type="dcterms:W3CDTF">2026-05-27T18:54:53Z</dcterms:modified>
</cp:coreProperties>
</file>